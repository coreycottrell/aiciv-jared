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REVENUE" sheetId="2" state="visible" r:id="rId2"/>
    <sheet xmlns:r="http://schemas.openxmlformats.org/officeDocument/2006/relationships" name="P&amp;L BY BU" sheetId="3" state="visible" r:id="rId3"/>
    <sheet xmlns:r="http://schemas.openxmlformats.org/officeDocument/2006/relationships" name="P&amp;L CONSOLIDATED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HEADCOUNT" sheetId="6" state="visible" r:id="rId6"/>
    <sheet xmlns:r="http://schemas.openxmlformats.org/officeDocument/2006/relationships" name="SaaS METRICS" sheetId="7" state="visible" r:id="rId7"/>
    <sheet xmlns:r="http://schemas.openxmlformats.org/officeDocument/2006/relationships" name="VALUATION" sheetId="8" state="visible" r:id="rId8"/>
    <sheet xmlns:r="http://schemas.openxmlformats.org/officeDocument/2006/relationships" name="SENSITIVITY" sheetId="9" state="visible" r:id="rId9"/>
    <sheet xmlns:r="http://schemas.openxmlformats.org/officeDocument/2006/relationships" name="INVESTMENT RETURNS" sheetId="10" state="visible" r:id="rId10"/>
    <sheet xmlns:r="http://schemas.openxmlformats.org/officeDocument/2006/relationships" name="YEAR 1 MONTHL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#,##0.0&quot;M&quot;"/>
    <numFmt numFmtId="166" formatCode="0.0&quot;x&quot;"/>
    <numFmt numFmtId="167" formatCode="#,##0.0&quot;B&quot;"/>
    <numFmt numFmtId="168" formatCode="#,##0&quot;M&quot;"/>
  </numFmts>
  <fonts count="36">
    <font>
      <name val="Calibri"/>
      <family val="2"/>
      <color theme="1"/>
      <sz val="11"/>
      <scheme val="minor"/>
    </font>
    <font>
      <name val="Calibri"/>
      <b val="1"/>
      <color rgb="00F1420B"/>
      <sz val="14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b val="1"/>
      <color rgb="00333333"/>
      <sz val="10"/>
    </font>
    <font>
      <name val="Calibri"/>
      <color rgb="001A3A5C"/>
      <sz val="10"/>
    </font>
    <font>
      <name val="Calibri"/>
      <i val="1"/>
      <color rgb="00555555"/>
      <sz val="9"/>
    </font>
    <font>
      <name val="Calibri"/>
      <color rgb="00333333"/>
      <sz val="10"/>
    </font>
    <font>
      <name val="Calibri"/>
      <b val="1"/>
      <color rgb="001A7A4A"/>
      <sz val="10"/>
    </font>
    <font>
      <name val="Calibri"/>
      <i val="1"/>
      <color rgb="00666666"/>
      <sz val="9"/>
    </font>
    <font>
      <name val="Calibri"/>
      <b val="1"/>
      <color rgb="00F1420B"/>
      <sz val="13"/>
    </font>
    <font>
      <name val="Calibri"/>
      <b val="1"/>
      <color rgb="00CCCCCC"/>
      <sz val="9"/>
    </font>
    <font>
      <name val="Calibri"/>
      <color rgb="001A1A4A"/>
      <sz val="10"/>
    </font>
    <font>
      <name val="Calibri"/>
      <color rgb="00CC0000"/>
      <sz val="10"/>
    </font>
    <font>
      <name val="Calibri"/>
      <b val="1"/>
      <color rgb="002A93C1"/>
      <sz val="10"/>
    </font>
    <font>
      <name val="Calibri"/>
      <b val="1"/>
      <color rgb="00FFFFFF"/>
      <sz val="12"/>
    </font>
    <font>
      <name val="Calibri"/>
      <b val="1"/>
      <color rgb="00F1420B"/>
      <sz val="10"/>
    </font>
    <font>
      <name val="Calibri"/>
      <b val="1"/>
      <color rgb="00F1420B"/>
      <sz val="11"/>
    </font>
    <font>
      <name val="Calibri"/>
      <b val="1"/>
      <color rgb="00CC6600"/>
      <sz val="10"/>
    </font>
    <font>
      <name val="Calibri"/>
      <b val="1"/>
      <color rgb="00FFFFFF"/>
      <sz val="9"/>
    </font>
    <font>
      <name val="Calibri"/>
      <color rgb="00FFFFFF"/>
      <sz val="9"/>
    </font>
    <font>
      <name val="Calibri"/>
      <color rgb="001A7A4A"/>
      <sz val="10"/>
    </font>
    <font>
      <name val="Calibri"/>
      <i val="1"/>
      <color rgb="00333333"/>
      <sz val="9"/>
    </font>
    <font>
      <name val="Calibri"/>
      <color rgb="00CCCCCC"/>
      <sz val="10"/>
    </font>
    <font>
      <name val="Calibri"/>
      <color rgb="00000000"/>
      <sz val="10"/>
    </font>
    <font>
      <name val="Calibri"/>
      <b val="1"/>
      <color rgb="00D4AF37"/>
      <sz val="14"/>
    </font>
    <font>
      <name val="Calibri"/>
      <b val="1"/>
      <color rgb="002A93C1"/>
      <sz val="11"/>
    </font>
    <font>
      <name val="Calibri"/>
      <b val="1"/>
      <color rgb="001A7A4A"/>
      <sz val="11"/>
    </font>
    <font>
      <name val="Calibri"/>
      <color rgb="002A93C1"/>
      <sz val="10"/>
    </font>
    <font>
      <name val="Calibri"/>
      <b val="1"/>
      <color rgb="000A0A1A"/>
      <sz val="12"/>
    </font>
    <font>
      <name val="Calibri"/>
      <b val="1"/>
      <color rgb="000A0A1A"/>
      <sz val="11"/>
    </font>
    <font>
      <name val="Calibri"/>
      <color rgb="002A93C1"/>
      <sz val="9"/>
    </font>
    <font>
      <name val="Calibri"/>
      <b val="1"/>
      <color rgb="00000000"/>
      <sz val="9"/>
    </font>
    <font>
      <name val="Calibri"/>
      <color rgb="00CC0000"/>
      <sz val="9"/>
    </font>
    <font>
      <name val="Calibri"/>
      <color rgb="001A3A5C"/>
      <sz val="9"/>
    </font>
    <font>
      <name val="Calibri"/>
      <b val="1"/>
      <color rgb="001A7A4A"/>
      <sz val="9"/>
    </font>
  </fonts>
  <fills count="21">
    <fill>
      <patternFill/>
    </fill>
    <fill>
      <patternFill patternType="gray125"/>
    </fill>
    <fill>
      <patternFill patternType="solid">
        <fgColor rgb="000A0A1A"/>
      </patternFill>
    </fill>
    <fill>
      <patternFill patternType="solid">
        <fgColor rgb="001A3A5C"/>
      </patternFill>
    </fill>
    <fill>
      <patternFill patternType="solid">
        <fgColor rgb="002A93C1"/>
      </patternFill>
    </fill>
    <fill>
      <patternFill patternType="solid">
        <fgColor rgb="00FFFFF0"/>
      </patternFill>
    </fill>
    <fill>
      <patternFill patternType="solid">
        <fgColor rgb="001A5C3A"/>
      </patternFill>
    </fill>
    <fill>
      <patternFill patternType="solid">
        <fgColor rgb="00FFF9ED"/>
      </patternFill>
    </fill>
    <fill>
      <patternFill patternType="solid">
        <fgColor rgb="00EFF8FF"/>
      </patternFill>
    </fill>
    <fill>
      <patternFill patternType="solid">
        <fgColor rgb="00FFF4F0"/>
      </patternFill>
    </fill>
    <fill>
      <patternFill patternType="solid">
        <fgColor rgb="00F1420B"/>
      </patternFill>
    </fill>
    <fill>
      <patternFill patternType="solid">
        <fgColor rgb="00E8F5EE"/>
      </patternFill>
    </fill>
    <fill>
      <patternFill patternType="solid">
        <fgColor rgb="002A5C3A"/>
      </patternFill>
    </fill>
    <fill>
      <patternFill patternType="solid">
        <fgColor rgb="005C2A7A"/>
      </patternFill>
    </fill>
    <fill>
      <patternFill patternType="solid">
        <fgColor rgb="001A7A4A"/>
      </patternFill>
    </fill>
    <fill>
      <patternFill patternType="solid">
        <fgColor rgb="000D4A27"/>
      </patternFill>
    </fill>
    <fill>
      <patternFill patternType="solid">
        <fgColor rgb="006B1A1A"/>
      </patternFill>
    </fill>
    <fill>
      <patternFill patternType="solid">
        <fgColor rgb="00FFFFFF"/>
      </patternFill>
    </fill>
    <fill>
      <patternFill patternType="solid">
        <fgColor rgb="00FFF0EE"/>
      </patternFill>
    </fill>
    <fill>
      <patternFill patternType="solid">
        <fgColor rgb="00D4AF37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4" fontId="5" fillId="5" borderId="1" applyAlignment="1" pivotButton="0" quotePrefix="0" xfId="0">
      <alignment horizontal="right" vertical="center"/>
    </xf>
    <xf numFmtId="0" fontId="6" fillId="0" borderId="0" pivotButton="0" quotePrefix="0" xfId="0"/>
    <xf numFmtId="3" fontId="5" fillId="5" borderId="1" applyAlignment="1" pivotButton="0" quotePrefix="0" xfId="0">
      <alignment horizontal="right" vertical="center"/>
    </xf>
    <xf numFmtId="0" fontId="3" fillId="3" borderId="0" applyAlignment="1" pivotButton="0" quotePrefix="0" xfId="0">
      <alignment horizontal="center" vertical="center"/>
    </xf>
    <xf numFmtId="164" fontId="5" fillId="5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4" fontId="2" fillId="6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0" fontId="8" fillId="0" borderId="0" pivotButton="0" quotePrefix="0" xfId="0"/>
    <xf numFmtId="166" fontId="5" fillId="5" borderId="1" applyAlignment="1" pivotButton="0" quotePrefix="0" xfId="0">
      <alignment horizontal="right" vertical="center"/>
    </xf>
    <xf numFmtId="167" fontId="5" fillId="5" borderId="1" applyAlignment="1" pivotButton="0" quotePrefix="0" xfId="0">
      <alignment horizontal="right" vertical="center"/>
    </xf>
    <xf numFmtId="0" fontId="9" fillId="7" borderId="0" pivotButton="0" quotePrefix="0" xfId="0"/>
    <xf numFmtId="0" fontId="10" fillId="2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3" fontId="12" fillId="8" borderId="1" applyAlignment="1" pivotButton="0" quotePrefix="0" xfId="0">
      <alignment horizontal="right" vertical="center"/>
    </xf>
    <xf numFmtId="164" fontId="8" fillId="0" borderId="0" applyAlignment="1" pivotButton="0" quotePrefix="0" xfId="0">
      <alignment horizontal="right" vertical="center"/>
    </xf>
    <xf numFmtId="3" fontId="13" fillId="0" borderId="0" applyAlignment="1" pivotButton="0" quotePrefix="0" xfId="0">
      <alignment horizontal="right" vertical="center"/>
    </xf>
    <xf numFmtId="164" fontId="14" fillId="0" borderId="0" applyAlignment="1" pivotButton="0" quotePrefix="0" xfId="0">
      <alignment horizontal="right" vertical="center"/>
    </xf>
    <xf numFmtId="3" fontId="2" fillId="6" borderId="1" applyAlignment="1" pivotButton="0" quotePrefix="0" xfId="0">
      <alignment horizontal="right" vertical="center"/>
    </xf>
    <xf numFmtId="3" fontId="13" fillId="0" borderId="1" applyAlignment="1" pivotButton="0" quotePrefix="0" xfId="0">
      <alignment horizontal="right" vertical="center"/>
    </xf>
    <xf numFmtId="3" fontId="12" fillId="9" borderId="1" applyAlignment="1" pivotButton="0" quotePrefix="0" xfId="0">
      <alignment horizontal="right" vertical="center"/>
    </xf>
    <xf numFmtId="3" fontId="12" fillId="7" borderId="1" applyAlignment="1" pivotButton="0" quotePrefix="0" xfId="0">
      <alignment horizontal="right" vertical="center"/>
    </xf>
    <xf numFmtId="0" fontId="15" fillId="10" borderId="0" applyAlignment="1" pivotButton="0" quotePrefix="0" xfId="0">
      <alignment horizontal="center" vertical="center"/>
    </xf>
    <xf numFmtId="0" fontId="16" fillId="2" borderId="0" applyAlignment="1" pivotButton="0" quotePrefix="0" xfId="0">
      <alignment horizontal="center" vertical="center"/>
    </xf>
    <xf numFmtId="3" fontId="2" fillId="10" borderId="1" applyAlignment="1" pivotButton="0" quotePrefix="0" xfId="0">
      <alignment horizontal="right" vertical="center"/>
    </xf>
    <xf numFmtId="164" fontId="17" fillId="0" borderId="0" applyAlignment="1" pivotButton="0" quotePrefix="0" xfId="0">
      <alignment horizontal="right" vertical="center"/>
    </xf>
    <xf numFmtId="164" fontId="18" fillId="9" borderId="0" applyAlignment="1" pivotButton="0" quotePrefix="0" xfId="0">
      <alignment horizontal="right" vertical="center"/>
    </xf>
    <xf numFmtId="164" fontId="8" fillId="11" borderId="0" applyAlignment="1" pivotButton="0" quotePrefix="0" xfId="0">
      <alignment horizontal="right" vertical="center"/>
    </xf>
    <xf numFmtId="0" fontId="19" fillId="3" borderId="0" applyAlignment="1" pivotButton="0" quotePrefix="0" xfId="0">
      <alignment horizontal="center" vertical="center"/>
    </xf>
    <xf numFmtId="0" fontId="15" fillId="4" borderId="0" applyAlignment="1" pivotButton="0" quotePrefix="0" xfId="0">
      <alignment horizontal="center" vertical="center"/>
    </xf>
    <xf numFmtId="0" fontId="6" fillId="7" borderId="0" pivotButton="0" quotePrefix="0" xfId="0"/>
    <xf numFmtId="0" fontId="15" fillId="3" borderId="0" applyAlignment="1" pivotButton="0" quotePrefix="0" xfId="0">
      <alignment horizontal="center" vertical="center"/>
    </xf>
    <xf numFmtId="0" fontId="15" fillId="12" borderId="0" applyAlignment="1" pivotButton="0" quotePrefix="0" xfId="0">
      <alignment horizontal="center" vertical="center"/>
    </xf>
    <xf numFmtId="0" fontId="15" fillId="13" borderId="0" applyAlignment="1" pivotButton="0" quotePrefix="0" xfId="0">
      <alignment horizontal="center" vertical="center"/>
    </xf>
    <xf numFmtId="0" fontId="2" fillId="14" borderId="0" applyAlignment="1" pivotButton="0" quotePrefix="0" xfId="0">
      <alignment horizontal="center" vertical="center"/>
    </xf>
    <xf numFmtId="0" fontId="14" fillId="8" borderId="0" pivotButton="0" quotePrefix="0" xfId="0"/>
    <xf numFmtId="3" fontId="2" fillId="15" borderId="1" applyAlignment="1" pivotButton="0" quotePrefix="0" xfId="0">
      <alignment horizontal="right" vertical="center"/>
    </xf>
    <xf numFmtId="164" fontId="8" fillId="11" borderId="1" applyAlignment="1" pivotButton="0" quotePrefix="0" xfId="0">
      <alignment horizontal="right" vertical="center"/>
    </xf>
    <xf numFmtId="3" fontId="2" fillId="16" borderId="1" applyAlignment="1" pivotButton="0" quotePrefix="0" xfId="0">
      <alignment horizontal="right" vertical="center"/>
    </xf>
    <xf numFmtId="164" fontId="3" fillId="14" borderId="1" applyAlignment="1" pivotButton="0" quotePrefix="0" xfId="0">
      <alignment horizontal="right" vertical="center"/>
    </xf>
    <xf numFmtId="164" fontId="18" fillId="11" borderId="1" applyAlignment="1" pivotButton="0" quotePrefix="0" xfId="0">
      <alignment horizontal="right" vertical="center"/>
    </xf>
    <xf numFmtId="0" fontId="3" fillId="10" borderId="0" applyAlignment="1" pivotButton="0" quotePrefix="0" xfId="0">
      <alignment horizontal="center" vertical="center"/>
    </xf>
    <xf numFmtId="0" fontId="2" fillId="3" borderId="0" pivotButton="0" quotePrefix="0" xfId="0"/>
    <xf numFmtId="0" fontId="20" fillId="3" borderId="0" pivotButton="0" quotePrefix="0" xfId="0"/>
    <xf numFmtId="0" fontId="7" fillId="17" borderId="0" pivotButton="0" quotePrefix="0" xfId="0"/>
    <xf numFmtId="0" fontId="13" fillId="17" borderId="0" pivotButton="0" quotePrefix="0" xfId="0"/>
    <xf numFmtId="0" fontId="21" fillId="17" borderId="0" pivotButton="0" quotePrefix="0" xfId="0"/>
    <xf numFmtId="0" fontId="22" fillId="17" borderId="0" pivotButton="0" quotePrefix="0" xfId="0"/>
    <xf numFmtId="0" fontId="7" fillId="8" borderId="0" pivotButton="0" quotePrefix="0" xfId="0"/>
    <xf numFmtId="0" fontId="13" fillId="8" borderId="0" pivotButton="0" quotePrefix="0" xfId="0"/>
    <xf numFmtId="0" fontId="21" fillId="8" borderId="0" pivotButton="0" quotePrefix="0" xfId="0"/>
    <xf numFmtId="0" fontId="22" fillId="8" borderId="0" pivotButton="0" quotePrefix="0" xfId="0"/>
    <xf numFmtId="3" fontId="2" fillId="4" borderId="1" applyAlignment="1" pivotButton="0" quotePrefix="0" xfId="0">
      <alignment horizontal="right" vertical="center"/>
    </xf>
    <xf numFmtId="0" fontId="23" fillId="0" borderId="0" applyAlignment="1" pivotButton="0" quotePrefix="0" xfId="0">
      <alignment horizontal="right" vertical="center"/>
    </xf>
    <xf numFmtId="0" fontId="4" fillId="8" borderId="1" applyAlignment="1" pivotButton="0" quotePrefix="0" xfId="0">
      <alignment horizontal="left" vertical="center"/>
    </xf>
    <xf numFmtId="4" fontId="14" fillId="8" borderId="1" applyAlignment="1" pivotButton="0" quotePrefix="0" xfId="0">
      <alignment horizontal="right" vertical="center"/>
    </xf>
    <xf numFmtId="3" fontId="24" fillId="8" borderId="1" applyAlignment="1" pivotButton="0" quotePrefix="0" xfId="0">
      <alignment horizontal="right" vertical="center"/>
    </xf>
    <xf numFmtId="3" fontId="8" fillId="8" borderId="1" applyAlignment="1" pivotButton="0" quotePrefix="0" xfId="0">
      <alignment horizontal="right" vertical="center"/>
    </xf>
    <xf numFmtId="0" fontId="8" fillId="8" borderId="1" applyAlignment="1" pivotButton="0" quotePrefix="0" xfId="0">
      <alignment horizontal="right" vertical="center"/>
    </xf>
    <xf numFmtId="3" fontId="0" fillId="8" borderId="1" applyAlignment="1" pivotButton="0" quotePrefix="0" xfId="0">
      <alignment horizontal="right" vertical="center"/>
    </xf>
    <xf numFmtId="164" fontId="18" fillId="9" borderId="1" applyAlignment="1" pivotButton="0" quotePrefix="0" xfId="0">
      <alignment horizontal="right" vertical="center"/>
    </xf>
    <xf numFmtId="3" fontId="13" fillId="18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7" fillId="17" borderId="1" applyAlignment="1" pivotButton="0" quotePrefix="0" xfId="0">
      <alignment horizontal="center" vertical="center"/>
    </xf>
    <xf numFmtId="0" fontId="8" fillId="1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18" fillId="17" borderId="1" applyAlignment="1" pivotButton="0" quotePrefix="0" xfId="0">
      <alignment horizontal="center" vertical="center"/>
    </xf>
    <xf numFmtId="0" fontId="25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26" fillId="0" borderId="0" applyAlignment="1" pivotButton="0" quotePrefix="0" xfId="0">
      <alignment horizontal="right" vertical="center"/>
    </xf>
    <xf numFmtId="0" fontId="27" fillId="0" borderId="0" applyAlignment="1" pivotButton="0" quotePrefix="0" xfId="0">
      <alignment horizontal="right" vertical="center"/>
    </xf>
    <xf numFmtId="168" fontId="7" fillId="8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center"/>
    </xf>
    <xf numFmtId="168" fontId="28" fillId="8" borderId="1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/>
    </xf>
    <xf numFmtId="168" fontId="8" fillId="11" borderId="1" applyAlignment="1" pivotButton="0" quotePrefix="0" xfId="0">
      <alignment horizontal="right" vertical="center"/>
    </xf>
    <xf numFmtId="168" fontId="29" fillId="19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13" fillId="18" borderId="0" applyAlignment="1" pivotButton="0" quotePrefix="0" xfId="0">
      <alignment horizontal="right" vertical="center"/>
    </xf>
    <xf numFmtId="0" fontId="14" fillId="8" borderId="0" applyAlignment="1" pivotButton="0" quotePrefix="0" xfId="0">
      <alignment horizontal="right" vertical="center"/>
    </xf>
    <xf numFmtId="0" fontId="21" fillId="11" borderId="0" applyAlignment="1" pivotButton="0" quotePrefix="0" xfId="0">
      <alignment horizontal="right" vertical="center"/>
    </xf>
    <xf numFmtId="3" fontId="14" fillId="8" borderId="1" applyAlignment="1" pivotButton="0" quotePrefix="0" xfId="0">
      <alignment horizontal="right" vertical="center"/>
    </xf>
    <xf numFmtId="3" fontId="21" fillId="11" borderId="1" applyAlignment="1" pivotButton="0" quotePrefix="0" xfId="0">
      <alignment horizontal="right" vertical="center"/>
    </xf>
    <xf numFmtId="0" fontId="3" fillId="12" borderId="0" applyAlignment="1" pivotButton="0" quotePrefix="0" xfId="0">
      <alignment horizontal="center" vertical="center"/>
    </xf>
    <xf numFmtId="3" fontId="4" fillId="0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right" vertical="center"/>
    </xf>
    <xf numFmtId="3" fontId="8" fillId="11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right" vertical="center"/>
    </xf>
    <xf numFmtId="0" fontId="14" fillId="0" borderId="1" applyAlignment="1" pivotButton="0" quotePrefix="0" xfId="0">
      <alignment horizontal="right" vertical="center"/>
    </xf>
    <xf numFmtId="0" fontId="6" fillId="0" borderId="1" pivotButton="0" quotePrefix="0" xfId="0"/>
    <xf numFmtId="0" fontId="30" fillId="19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1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7" fillId="9" borderId="1" applyAlignment="1" pivotButton="0" quotePrefix="0" xfId="0">
      <alignment horizontal="center" vertical="center"/>
    </xf>
    <xf numFmtId="0" fontId="21" fillId="9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left" vertical="center"/>
    </xf>
    <xf numFmtId="0" fontId="7" fillId="11" borderId="1" applyAlignment="1" pivotButton="0" quotePrefix="0" xfId="0">
      <alignment horizontal="center" vertical="center"/>
    </xf>
    <xf numFmtId="0" fontId="21" fillId="11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21" fillId="7" borderId="1" applyAlignment="1" pivotButton="0" quotePrefix="0" xfId="0">
      <alignment horizontal="center" vertical="center"/>
    </xf>
    <xf numFmtId="3" fontId="31" fillId="8" borderId="1" applyAlignment="1" pivotButton="0" quotePrefix="0" xfId="0">
      <alignment horizontal="right" vertical="center"/>
    </xf>
    <xf numFmtId="3" fontId="32" fillId="9" borderId="1" applyAlignment="1" pivotButton="0" quotePrefix="0" xfId="0">
      <alignment horizontal="right" vertical="center"/>
    </xf>
    <xf numFmtId="3" fontId="32" fillId="7" borderId="1" applyAlignment="1" pivotButton="0" quotePrefix="0" xfId="0">
      <alignment horizontal="right" vertical="center"/>
    </xf>
    <xf numFmtId="4" fontId="31" fillId="8" borderId="1" applyAlignment="1" pivotButton="0" quotePrefix="0" xfId="0">
      <alignment horizontal="right" vertical="center"/>
    </xf>
    <xf numFmtId="4" fontId="32" fillId="9" borderId="1" applyAlignment="1" pivotButton="0" quotePrefix="0" xfId="0">
      <alignment horizontal="right" vertical="center"/>
    </xf>
    <xf numFmtId="4" fontId="32" fillId="7" borderId="1" applyAlignment="1" pivotButton="0" quotePrefix="0" xfId="0">
      <alignment horizontal="right" vertical="center"/>
    </xf>
    <xf numFmtId="3" fontId="33" fillId="18" borderId="1" applyAlignment="1" pivotButton="0" quotePrefix="0" xfId="0">
      <alignment horizontal="right" vertical="center"/>
    </xf>
    <xf numFmtId="3" fontId="19" fillId="6" borderId="1" applyAlignment="1" pivotButton="0" quotePrefix="0" xfId="0">
      <alignment horizontal="right" vertical="center"/>
    </xf>
    <xf numFmtId="3" fontId="34" fillId="20" borderId="1" applyAlignment="1" pivotButton="0" quotePrefix="0" xfId="0">
      <alignment horizontal="right" vertical="center"/>
    </xf>
    <xf numFmtId="0" fontId="2" fillId="12" borderId="0" applyAlignment="1" pivotButton="0" quotePrefix="0" xfId="0">
      <alignment horizontal="center" vertical="center"/>
    </xf>
    <xf numFmtId="164" fontId="35" fillId="11" borderId="1" applyAlignment="1" pivotButton="0" quotePrefix="0" xfId="0">
      <alignment horizontal="right" vertical="center"/>
    </xf>
    <xf numFmtId="164" fontId="32" fillId="9" borderId="1" applyAlignment="1" pivotButton="0" quotePrefix="0" xfId="0">
      <alignment horizontal="right" vertical="center"/>
    </xf>
    <xf numFmtId="164" fontId="32" fillId="7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8" customWidth="1" min="2" max="2"/>
    <col width="28" customWidth="1" min="3" max="3"/>
    <col width="40" customWidth="1" min="4" max="4"/>
    <col width="18" customWidth="1" min="5" max="5"/>
    <col width="28" customWidth="1" min="6" max="6"/>
  </cols>
  <sheetData>
    <row r="1" ht="30" customHeight="1">
      <c r="A1" s="1" t="inlineStr">
        <is>
          <t>PURE TECHNOLOGY — UNIFIED 5-YEAR FINANCIAL MODEL v2 INPUTS</t>
        </is>
      </c>
    </row>
    <row r="2">
      <c r="A2" s="2" t="inlineStr">
        <is>
          <t>ALL ASSUMPTIONS LIVE HERE — Every other sheet references this page</t>
        </is>
      </c>
    </row>
    <row r="4">
      <c r="A4" s="3" t="inlineStr">
        <is>
          <t>PUREBRAIN PRICING TIERS</t>
        </is>
      </c>
      <c r="D4" s="3" t="inlineStr">
        <is>
          <t>INTRO PRICING (First 2 Months)</t>
        </is>
      </c>
    </row>
    <row r="5">
      <c r="A5" s="4" t="inlineStr">
        <is>
          <t>Tier</t>
        </is>
      </c>
      <c r="B5" s="4" t="inlineStr">
        <is>
          <t>Monthly Price</t>
        </is>
      </c>
      <c r="C5" s="4" t="inlineStr">
        <is>
          <t>Notes</t>
        </is>
      </c>
      <c r="D5" s="4" t="inlineStr">
        <is>
          <t>Tier</t>
        </is>
      </c>
      <c r="E5" s="4" t="inlineStr">
        <is>
          <t>Intro Price/Mo</t>
        </is>
      </c>
      <c r="F5" s="4" t="inlineStr">
        <is>
          <t>Duration (Months)</t>
        </is>
      </c>
    </row>
    <row r="6">
      <c r="A6" s="5" t="inlineStr">
        <is>
          <t>Bonded</t>
        </is>
      </c>
      <c r="B6" s="6" t="n">
        <v>197</v>
      </c>
      <c r="C6" s="7" t="inlineStr">
        <is>
          <t>Entry tier — individual</t>
        </is>
      </c>
      <c r="D6" s="5" t="inlineStr">
        <is>
          <t>Bonded</t>
        </is>
      </c>
      <c r="E6" s="6" t="n">
        <v>149</v>
      </c>
      <c r="F6" s="8" t="n">
        <v>2</v>
      </c>
    </row>
    <row r="7">
      <c r="A7" s="5" t="inlineStr">
        <is>
          <t>Partnered</t>
        </is>
      </c>
      <c r="B7" s="6" t="n">
        <v>579</v>
      </c>
      <c r="C7" s="7" t="inlineStr">
        <is>
          <t>Small team / advanced</t>
        </is>
      </c>
      <c r="D7" s="5" t="inlineStr">
        <is>
          <t>Partnered</t>
        </is>
      </c>
      <c r="E7" s="6" t="n">
        <v>499</v>
      </c>
      <c r="F7" s="8" t="n">
        <v>2</v>
      </c>
    </row>
    <row r="8">
      <c r="A8" s="5" t="inlineStr">
        <is>
          <t>Unified</t>
        </is>
      </c>
      <c r="B8" s="6" t="n">
        <v>1089</v>
      </c>
      <c r="C8" s="7" t="inlineStr">
        <is>
          <t>Mid-market / department</t>
        </is>
      </c>
      <c r="D8" s="5" t="inlineStr">
        <is>
          <t>Unified</t>
        </is>
      </c>
      <c r="E8" s="6" t="n">
        <v>999</v>
      </c>
      <c r="F8" s="8" t="n">
        <v>2</v>
      </c>
    </row>
    <row r="9">
      <c r="A9" s="5" t="inlineStr">
        <is>
          <t>Enterprise</t>
        </is>
      </c>
      <c r="B9" s="6" t="n">
        <v>5500</v>
      </c>
      <c r="C9" s="7" t="inlineStr">
        <is>
          <t>Large org — custom avg</t>
        </is>
      </c>
      <c r="D9" s="5" t="inlineStr">
        <is>
          <t>Enterprise</t>
        </is>
      </c>
      <c r="E9" s="6" t="n">
        <v>4000</v>
      </c>
      <c r="F9" s="8" t="n">
        <v>2</v>
      </c>
    </row>
    <row r="11">
      <c r="A11" s="9" t="inlineStr">
        <is>
          <t>TIER MIX &amp; CHURN BY YEAR</t>
        </is>
      </c>
    </row>
    <row r="12">
      <c r="A12" s="4" t="inlineStr">
        <is>
          <t>Parameter</t>
        </is>
      </c>
      <c r="B12" s="4" t="inlineStr">
        <is>
          <t>Y1 (2026)</t>
        </is>
      </c>
      <c r="C12" s="4" t="inlineStr">
        <is>
          <t>Y2 (2027)</t>
        </is>
      </c>
      <c r="D12" s="4" t="inlineStr">
        <is>
          <t>Y3 (2028)</t>
        </is>
      </c>
      <c r="E12" s="4" t="inlineStr">
        <is>
          <t>Y4 (2029)</t>
        </is>
      </c>
      <c r="F12" s="4" t="inlineStr">
        <is>
          <t>Y5 (2030)</t>
        </is>
      </c>
    </row>
    <row r="13">
      <c r="A13" s="5" t="inlineStr">
        <is>
          <t>Bonded % of mix</t>
        </is>
      </c>
      <c r="B13" s="10" t="n">
        <v>0.6</v>
      </c>
      <c r="C13" s="10" t="n">
        <v>0.55</v>
      </c>
      <c r="D13" s="10" t="n">
        <v>0.5</v>
      </c>
      <c r="E13" s="10" t="n">
        <v>0.45</v>
      </c>
      <c r="F13" s="10" t="n">
        <v>0.4</v>
      </c>
    </row>
    <row r="14">
      <c r="A14" s="5" t="inlineStr">
        <is>
          <t>Partnered % of mix</t>
        </is>
      </c>
      <c r="B14" s="10" t="n">
        <v>0.25</v>
      </c>
      <c r="C14" s="10" t="n">
        <v>0.25</v>
      </c>
      <c r="D14" s="10" t="n">
        <v>0.25</v>
      </c>
      <c r="E14" s="10" t="n">
        <v>0.25</v>
      </c>
      <c r="F14" s="10" t="n">
        <v>0.25</v>
      </c>
    </row>
    <row r="15">
      <c r="A15" s="5" t="inlineStr">
        <is>
          <t>Unified % of mix</t>
        </is>
      </c>
      <c r="B15" s="10" t="n">
        <v>0.12</v>
      </c>
      <c r="C15" s="10" t="n">
        <v>0.16</v>
      </c>
      <c r="D15" s="10" t="n">
        <v>0.2</v>
      </c>
      <c r="E15" s="10" t="n">
        <v>0.24</v>
      </c>
      <c r="F15" s="10" t="n">
        <v>0.28</v>
      </c>
    </row>
    <row r="16">
      <c r="A16" s="5" t="inlineStr">
        <is>
          <t>Enterprise % of mix</t>
        </is>
      </c>
      <c r="B16" s="10" t="n">
        <v>0.03</v>
      </c>
      <c r="C16" s="10" t="n">
        <v>0.04</v>
      </c>
      <c r="D16" s="10" t="n">
        <v>0.05</v>
      </c>
      <c r="E16" s="10" t="n">
        <v>0.06</v>
      </c>
      <c r="F16" s="10" t="n">
        <v>0.07000000000000001</v>
      </c>
    </row>
    <row r="17">
      <c r="A17" s="5" t="inlineStr">
        <is>
          <t>Monthly Churn Rate</t>
        </is>
      </c>
      <c r="B17" s="10" t="n">
        <v>0.03</v>
      </c>
      <c r="C17" s="10" t="n">
        <v>0.025</v>
      </c>
      <c r="D17" s="10" t="n">
        <v>0.02</v>
      </c>
      <c r="E17" s="10" t="n">
        <v>0.015</v>
      </c>
      <c r="F17" s="10" t="n">
        <v>0.012</v>
      </c>
    </row>
    <row r="18">
      <c r="A18" s="11" t="inlineStr">
        <is>
          <t>Net Revenue Retention</t>
        </is>
      </c>
      <c r="B18" s="10" t="n">
        <v>1.05</v>
      </c>
      <c r="C18" s="10" t="n">
        <v>1.08</v>
      </c>
      <c r="D18" s="10" t="n">
        <v>1.1</v>
      </c>
      <c r="E18" s="10" t="n">
        <v>1.12</v>
      </c>
      <c r="F18" s="10" t="n">
        <v>1.15</v>
      </c>
    </row>
    <row r="19">
      <c r="A19" s="11" t="inlineStr">
        <is>
          <t>Intro Pricing Months</t>
        </is>
      </c>
      <c r="B19" s="8" t="n">
        <v>2</v>
      </c>
      <c r="C19" s="8" t="n">
        <v>2</v>
      </c>
      <c r="D19" s="8" t="n">
        <v>2</v>
      </c>
      <c r="E19" s="8" t="n">
        <v>1</v>
      </c>
      <c r="F19" s="8" t="n">
        <v>1</v>
      </c>
    </row>
    <row r="21">
      <c r="A21" s="9" t="inlineStr">
        <is>
          <t>PUREBRAIN CUSTOMER ACQUISITION</t>
        </is>
      </c>
    </row>
    <row r="22">
      <c r="A22" s="4" t="inlineStr">
        <is>
          <t>Parameter</t>
        </is>
      </c>
      <c r="B22" s="4" t="inlineStr">
        <is>
          <t>Y1 (2026)</t>
        </is>
      </c>
      <c r="C22" s="4" t="inlineStr">
        <is>
          <t>Y2 (2027)</t>
        </is>
      </c>
      <c r="D22" s="4" t="inlineStr">
        <is>
          <t>Y3 (2028)</t>
        </is>
      </c>
      <c r="E22" s="4" t="inlineStr">
        <is>
          <t>Y4 (2029)</t>
        </is>
      </c>
      <c r="F22" s="4" t="inlineStr">
        <is>
          <t>Y5 (2030)</t>
        </is>
      </c>
    </row>
    <row r="23">
      <c r="A23" s="5" t="inlineStr">
        <is>
          <t>Launch Customers (Month 1)</t>
        </is>
      </c>
      <c r="B23" s="8" t="n">
        <v>500</v>
      </c>
      <c r="C23" s="8" t="n">
        <v>0</v>
      </c>
      <c r="D23" s="8" t="n">
        <v>0</v>
      </c>
      <c r="E23" s="8" t="n">
        <v>0</v>
      </c>
      <c r="F23" s="8" t="n">
        <v>0</v>
      </c>
    </row>
    <row r="24">
      <c r="A24" s="5" t="inlineStr">
        <is>
          <t>Monthly New Customer Growth</t>
        </is>
      </c>
      <c r="B24" s="8" t="n">
        <v>200</v>
      </c>
      <c r="C24" s="8" t="n">
        <v>400</v>
      </c>
      <c r="D24" s="8" t="n">
        <v>800</v>
      </c>
      <c r="E24" s="8" t="n">
        <v>1500</v>
      </c>
      <c r="F24" s="8" t="n">
        <v>2500</v>
      </c>
    </row>
    <row r="25">
      <c r="A25" s="5" t="inlineStr">
        <is>
          <t>Avg Monthly New Customers</t>
        </is>
      </c>
      <c r="B25" s="8" t="n">
        <v>200</v>
      </c>
      <c r="C25" s="8" t="n">
        <v>400</v>
      </c>
      <c r="D25" s="8" t="n">
        <v>800</v>
      </c>
      <c r="E25" s="8" t="n">
        <v>1500</v>
      </c>
      <c r="F25" s="8" t="n">
        <v>2500</v>
      </c>
    </row>
    <row r="26">
      <c r="A26" s="5" t="inlineStr">
        <is>
          <t>Year-End Total Customers</t>
        </is>
      </c>
      <c r="B26" s="8" t="n">
        <v>2900</v>
      </c>
      <c r="C26" s="8" t="n">
        <v>7700</v>
      </c>
      <c r="D26" s="8" t="n">
        <v>17300</v>
      </c>
      <c r="E26" s="8" t="n">
        <v>35300</v>
      </c>
      <c r="F26" s="8" t="n">
        <v>65300</v>
      </c>
    </row>
    <row r="28">
      <c r="A28" s="9" t="inlineStr">
        <is>
          <t>PUREBRAIN COGS (Per Customer / Month)</t>
        </is>
      </c>
    </row>
    <row r="29">
      <c r="A29" s="4" t="inlineStr">
        <is>
          <t>Cost Item</t>
        </is>
      </c>
      <c r="B29" s="4" t="inlineStr">
        <is>
          <t>Y1</t>
        </is>
      </c>
      <c r="C29" s="4" t="inlineStr">
        <is>
          <t>Y2</t>
        </is>
      </c>
      <c r="D29" s="4" t="inlineStr">
        <is>
          <t>Y3</t>
        </is>
      </c>
      <c r="E29" s="4" t="inlineStr">
        <is>
          <t>Y4</t>
        </is>
      </c>
      <c r="F29" s="4" t="inlineStr">
        <is>
          <t>Y5</t>
        </is>
      </c>
    </row>
    <row r="30">
      <c r="A30" s="11" t="inlineStr">
        <is>
          <t>Claude API Cost / Customer / Mo</t>
        </is>
      </c>
      <c r="B30" s="6" t="n">
        <v>8</v>
      </c>
      <c r="C30" s="6" t="n">
        <v>7</v>
      </c>
      <c r="D30" s="6" t="n">
        <v>6</v>
      </c>
      <c r="E30" s="6" t="n">
        <v>5.5</v>
      </c>
      <c r="F30" s="6" t="n">
        <v>5</v>
      </c>
    </row>
    <row r="31">
      <c r="A31" s="11" t="inlineStr">
        <is>
          <t>Infrastructure / Customer / Mo</t>
        </is>
      </c>
      <c r="B31" s="6" t="n">
        <v>4</v>
      </c>
      <c r="C31" s="6" t="n">
        <v>3.5</v>
      </c>
      <c r="D31" s="6" t="n">
        <v>3</v>
      </c>
      <c r="E31" s="6" t="n">
        <v>2.75</v>
      </c>
      <c r="F31" s="6" t="n">
        <v>2.5</v>
      </c>
    </row>
    <row r="32">
      <c r="A32" s="11" t="inlineStr">
        <is>
          <t>Support / Customer / Mo</t>
        </is>
      </c>
      <c r="B32" s="6" t="n">
        <v>2</v>
      </c>
      <c r="C32" s="6" t="n">
        <v>1.75</v>
      </c>
      <c r="D32" s="6" t="n">
        <v>1.5</v>
      </c>
      <c r="E32" s="6" t="n">
        <v>1.25</v>
      </c>
      <c r="F32" s="6" t="n">
        <v>1</v>
      </c>
    </row>
    <row r="33">
      <c r="A33" s="5" t="inlineStr">
        <is>
          <t>Total COGS / Customer / Mo</t>
        </is>
      </c>
      <c r="B33" s="12">
        <f>INPUTS!B30+INPUTS!B31+INPUTS!B32</f>
        <v/>
      </c>
      <c r="C33" s="12">
        <f>INPUTS!C30+INPUTS!C31+INPUTS!C32</f>
        <v/>
      </c>
      <c r="D33" s="12">
        <f>INPUTS!D30+INPUTS!D31+INPUTS!D32</f>
        <v/>
      </c>
      <c r="E33" s="12">
        <f>INPUTS!E30+INPUTS!E31+INPUTS!E32</f>
        <v/>
      </c>
      <c r="F33" s="12">
        <f>INPUTS!F30+INPUTS!F31+INPUTS!F32</f>
        <v/>
      </c>
    </row>
    <row r="35">
      <c r="A35" s="9" t="inlineStr">
        <is>
          <t>PT CORE BUSINESS ASSUMPTIONS</t>
        </is>
      </c>
    </row>
    <row r="36">
      <c r="A36" s="4" t="inlineStr">
        <is>
          <t>Parameter</t>
        </is>
      </c>
      <c r="B36" s="4" t="inlineStr">
        <is>
          <t>Y1 (2026)</t>
        </is>
      </c>
      <c r="C36" s="4" t="inlineStr">
        <is>
          <t>Y2 (2027)</t>
        </is>
      </c>
      <c r="D36" s="4" t="inlineStr">
        <is>
          <t>Y3 (2028)</t>
        </is>
      </c>
      <c r="E36" s="4" t="inlineStr">
        <is>
          <t>Y4 (2029)</t>
        </is>
      </c>
      <c r="F36" s="4" t="inlineStr">
        <is>
          <t>Y5 (2030)</t>
        </is>
      </c>
    </row>
    <row r="37">
      <c r="A37" s="5" t="inlineStr">
        <is>
          <t>Revenue (Full Year Run Rate $M)</t>
        </is>
      </c>
      <c r="B37" s="13" t="n">
        <v>462</v>
      </c>
      <c r="C37" s="13" t="n">
        <v>508</v>
      </c>
      <c r="D37" s="13" t="n">
        <v>559</v>
      </c>
      <c r="E37" s="13" t="n">
        <v>615</v>
      </c>
      <c r="F37" s="13" t="n">
        <v>677</v>
      </c>
    </row>
    <row r="38">
      <c r="A38" s="5" t="inlineStr">
        <is>
          <t>PT Core Gross Margin %</t>
        </is>
      </c>
      <c r="B38" s="10" t="n">
        <v>0.55</v>
      </c>
      <c r="C38" s="10" t="n">
        <v>0.5600000000000001</v>
      </c>
      <c r="D38" s="10" t="n">
        <v>0.57</v>
      </c>
      <c r="E38" s="10" t="n">
        <v>0.58</v>
      </c>
      <c r="F38" s="10" t="n">
        <v>0.59</v>
      </c>
    </row>
    <row r="39">
      <c r="A39" s="5" t="inlineStr">
        <is>
          <t>PT Core NET Margin % (Jared)</t>
        </is>
      </c>
      <c r="B39" s="10" t="n">
        <v>0.35</v>
      </c>
      <c r="C39" s="10" t="n">
        <v>0.36</v>
      </c>
      <c r="D39" s="10" t="n">
        <v>0.37</v>
      </c>
      <c r="E39" s="10" t="n">
        <v>0.38</v>
      </c>
      <c r="F39" s="10" t="n">
        <v>0.39</v>
      </c>
    </row>
    <row r="40">
      <c r="A40" s="5" t="inlineStr">
        <is>
          <t>PT Core OpEx % of Revenue</t>
        </is>
      </c>
      <c r="B40" s="13" t="n">
        <v>0.2</v>
      </c>
      <c r="C40" s="13" t="n">
        <v>0.2</v>
      </c>
      <c r="D40" s="13" t="n">
        <v>0.2</v>
      </c>
      <c r="E40" s="13" t="n">
        <v>0.2</v>
      </c>
      <c r="F40" s="13" t="n">
        <v>0.2</v>
      </c>
    </row>
    <row r="41">
      <c r="A41" s="5" t="inlineStr">
        <is>
          <t>PT Core COGS % of Revenue</t>
        </is>
      </c>
      <c r="B41" s="13" t="n">
        <v>0.45</v>
      </c>
      <c r="C41" s="13" t="n">
        <v>0.44</v>
      </c>
      <c r="D41" s="13" t="n">
        <v>0.43</v>
      </c>
      <c r="E41" s="13" t="n">
        <v>0.42</v>
      </c>
      <c r="F41" s="13" t="n">
        <v>0.41</v>
      </c>
    </row>
    <row r="42">
      <c r="A42" s="5" t="inlineStr">
        <is>
          <t>Ramp Start Month (1=Jan 2026)</t>
        </is>
      </c>
      <c r="B42" s="8" t="n">
        <v>6</v>
      </c>
      <c r="C42" s="8" t="n">
        <v>1</v>
      </c>
      <c r="D42" s="8" t="n">
        <v>1</v>
      </c>
      <c r="E42" s="8" t="n">
        <v>1</v>
      </c>
      <c r="F42" s="8" t="n">
        <v>1</v>
      </c>
    </row>
    <row r="43">
      <c r="A43" s="5" t="inlineStr">
        <is>
          <t>Ramp Factor Y1 (partial year)</t>
        </is>
      </c>
      <c r="B43" s="8" t="n">
        <v>0.583</v>
      </c>
      <c r="C43" s="8" t="n">
        <v>1</v>
      </c>
      <c r="D43" s="8" t="n">
        <v>1</v>
      </c>
      <c r="E43" s="8" t="n">
        <v>1</v>
      </c>
      <c r="F43" s="8" t="n">
        <v>1</v>
      </c>
    </row>
    <row r="45">
      <c r="A45" s="9" t="inlineStr">
        <is>
          <t>PUREMARKETING.AI ASSUMPTIONS</t>
        </is>
      </c>
    </row>
    <row r="46">
      <c r="A46" s="4" t="inlineStr">
        <is>
          <t>Parameter</t>
        </is>
      </c>
      <c r="B46" s="4" t="inlineStr">
        <is>
          <t>Y1</t>
        </is>
      </c>
      <c r="C46" s="4" t="inlineStr">
        <is>
          <t>Y2</t>
        </is>
      </c>
      <c r="D46" s="4" t="inlineStr">
        <is>
          <t>Y3</t>
        </is>
      </c>
      <c r="E46" s="4" t="inlineStr">
        <is>
          <t>Y4</t>
        </is>
      </c>
      <c r="F46" s="4" t="inlineStr">
        <is>
          <t>Y5</t>
        </is>
      </c>
    </row>
    <row r="47">
      <c r="A47" s="5" t="inlineStr">
        <is>
          <t>Revenue ($M)</t>
        </is>
      </c>
      <c r="B47" s="13" t="n">
        <v>1.8</v>
      </c>
      <c r="C47" s="13" t="n">
        <v>2.5</v>
      </c>
      <c r="D47" s="13" t="n">
        <v>3.5</v>
      </c>
      <c r="E47" s="13" t="n">
        <v>4.2</v>
      </c>
      <c r="F47" s="13" t="n">
        <v>5</v>
      </c>
    </row>
    <row r="48">
      <c r="A48" s="5" t="inlineStr">
        <is>
          <t>Gross Margin %</t>
        </is>
      </c>
      <c r="B48" s="10" t="n">
        <v>0.45</v>
      </c>
      <c r="C48" s="10" t="n">
        <v>0.46</v>
      </c>
      <c r="D48" s="10" t="n">
        <v>0.47</v>
      </c>
      <c r="E48" s="10" t="n">
        <v>0.48</v>
      </c>
      <c r="F48" s="10" t="n">
        <v>0.5</v>
      </c>
    </row>
    <row r="49">
      <c r="A49" s="5" t="inlineStr">
        <is>
          <t>OpEx % of Revenue</t>
        </is>
      </c>
      <c r="B49" s="10" t="n">
        <v>0.3</v>
      </c>
      <c r="C49" s="10" t="n">
        <v>0.28</v>
      </c>
      <c r="D49" s="10" t="n">
        <v>0.26</v>
      </c>
      <c r="E49" s="10" t="n">
        <v>0.24</v>
      </c>
      <c r="F49" s="10" t="n">
        <v>0.22</v>
      </c>
    </row>
    <row r="51">
      <c r="A51" s="9" t="inlineStr">
        <is>
          <t>PURE INFLUENCE PLATFORM</t>
        </is>
      </c>
    </row>
    <row r="52">
      <c r="A52" s="4" t="inlineStr">
        <is>
          <t>Parameter</t>
        </is>
      </c>
      <c r="B52" s="4" t="inlineStr">
        <is>
          <t>Y1</t>
        </is>
      </c>
      <c r="C52" s="4" t="inlineStr">
        <is>
          <t>Y2</t>
        </is>
      </c>
      <c r="D52" s="4" t="inlineStr">
        <is>
          <t>Y3</t>
        </is>
      </c>
      <c r="E52" s="4" t="inlineStr">
        <is>
          <t>Y4</t>
        </is>
      </c>
      <c r="F52" s="4" t="inlineStr">
        <is>
          <t>Y5</t>
        </is>
      </c>
    </row>
    <row r="53">
      <c r="A53" s="5" t="inlineStr">
        <is>
          <t>Revenue ($M)</t>
        </is>
      </c>
      <c r="B53" s="13" t="n">
        <v>0</v>
      </c>
      <c r="C53" s="13" t="n">
        <v>0.3</v>
      </c>
      <c r="D53" s="13" t="n">
        <v>1.2</v>
      </c>
      <c r="E53" s="13" t="n">
        <v>3</v>
      </c>
      <c r="F53" s="13" t="n">
        <v>6.5</v>
      </c>
    </row>
    <row r="54">
      <c r="A54" s="5" t="inlineStr">
        <is>
          <t>Gross Margin %</t>
        </is>
      </c>
      <c r="B54" s="10" t="n">
        <v>0</v>
      </c>
      <c r="C54" s="10" t="n">
        <v>0.7</v>
      </c>
      <c r="D54" s="10" t="n">
        <v>0.73</v>
      </c>
      <c r="E54" s="10" t="n">
        <v>0.75</v>
      </c>
      <c r="F54" s="10" t="n">
        <v>0.78</v>
      </c>
    </row>
    <row r="55">
      <c r="A55" s="5" t="inlineStr">
        <is>
          <t>OpEx % of Revenue</t>
        </is>
      </c>
      <c r="B55" s="10" t="n">
        <v>0</v>
      </c>
      <c r="C55" s="10" t="n">
        <v>0.6</v>
      </c>
      <c r="D55" s="10" t="n">
        <v>0.5</v>
      </c>
      <c r="E55" s="10" t="n">
        <v>0.4</v>
      </c>
      <c r="F55" s="10" t="n">
        <v>0.3</v>
      </c>
    </row>
    <row r="56">
      <c r="A56" s="5" t="inlineStr">
        <is>
          <t>Launch Month (2026)</t>
        </is>
      </c>
      <c r="B56" s="8" t="n">
        <v>7</v>
      </c>
      <c r="C56" s="8" t="n">
        <v>1</v>
      </c>
      <c r="D56" s="8" t="n">
        <v>1</v>
      </c>
      <c r="E56" s="8" t="n">
        <v>1</v>
      </c>
      <c r="F56" s="8" t="n">
        <v>1</v>
      </c>
    </row>
    <row r="58">
      <c r="A58" s="9" t="inlineStr">
        <is>
          <t>HEADCOUNT &amp; CORPORATE OPEX</t>
        </is>
      </c>
    </row>
    <row r="59">
      <c r="A59" s="4" t="inlineStr">
        <is>
          <t>Parameter</t>
        </is>
      </c>
      <c r="B59" s="4" t="inlineStr">
        <is>
          <t>Y1</t>
        </is>
      </c>
      <c r="C59" s="4" t="inlineStr">
        <is>
          <t>Y2</t>
        </is>
      </c>
      <c r="D59" s="4" t="inlineStr">
        <is>
          <t>Y3</t>
        </is>
      </c>
      <c r="E59" s="4" t="inlineStr">
        <is>
          <t>Y4</t>
        </is>
      </c>
      <c r="F59" s="4" t="inlineStr">
        <is>
          <t>Y5</t>
        </is>
      </c>
    </row>
    <row r="60">
      <c r="A60" s="5" t="inlineStr">
        <is>
          <t>Total Headcount Cap</t>
        </is>
      </c>
      <c r="B60" s="8" t="n">
        <v>25</v>
      </c>
      <c r="C60" s="8" t="n">
        <v>40</v>
      </c>
      <c r="D60" s="8" t="n">
        <v>60</v>
      </c>
      <c r="E60" s="8" t="n">
        <v>80</v>
      </c>
      <c r="F60" s="8" t="n">
        <v>100</v>
      </c>
    </row>
    <row r="61">
      <c r="A61" s="5" t="inlineStr">
        <is>
          <t>Avg Fully-Loaded Cost / Person</t>
        </is>
      </c>
      <c r="B61" s="8" t="n">
        <v>100000</v>
      </c>
      <c r="C61" s="8" t="n">
        <v>110000</v>
      </c>
      <c r="D61" s="8" t="n">
        <v>120000</v>
      </c>
      <c r="E61" s="8" t="n">
        <v>130000</v>
      </c>
      <c r="F61" s="8" t="n">
        <v>140000</v>
      </c>
    </row>
    <row r="62">
      <c r="A62" s="5" t="inlineStr">
        <is>
          <t>PureBrain Team Headcount</t>
        </is>
      </c>
      <c r="B62" s="8" t="n">
        <v>5</v>
      </c>
      <c r="C62" s="8" t="n">
        <v>8</v>
      </c>
      <c r="D62" s="8" t="n">
        <v>12</v>
      </c>
      <c r="E62" s="8" t="n">
        <v>18</v>
      </c>
      <c r="F62" s="8" t="n">
        <v>25</v>
      </c>
    </row>
    <row r="63">
      <c r="A63" s="5" t="inlineStr">
        <is>
          <t>PT Core Team Headcount</t>
        </is>
      </c>
      <c r="B63" s="8" t="n">
        <v>8</v>
      </c>
      <c r="C63" s="8" t="n">
        <v>12</v>
      </c>
      <c r="D63" s="8" t="n">
        <v>18</v>
      </c>
      <c r="E63" s="8" t="n">
        <v>24</v>
      </c>
      <c r="F63" s="8" t="n">
        <v>30</v>
      </c>
    </row>
    <row r="64">
      <c r="A64" s="5" t="inlineStr">
        <is>
          <t>PureMarketing Team Headcount</t>
        </is>
      </c>
      <c r="B64" s="8" t="n">
        <v>5</v>
      </c>
      <c r="C64" s="8" t="n">
        <v>8</v>
      </c>
      <c r="D64" s="8" t="n">
        <v>12</v>
      </c>
      <c r="E64" s="8" t="n">
        <v>16</v>
      </c>
      <c r="F64" s="8" t="n">
        <v>20</v>
      </c>
    </row>
    <row r="65">
      <c r="A65" s="5" t="inlineStr">
        <is>
          <t>Corporate / G&amp;A Headcount</t>
        </is>
      </c>
      <c r="B65" s="8" t="n">
        <v>7</v>
      </c>
      <c r="C65" s="8" t="n">
        <v>12</v>
      </c>
      <c r="D65" s="8" t="n">
        <v>18</v>
      </c>
      <c r="E65" s="8" t="n">
        <v>22</v>
      </c>
      <c r="F65" s="8" t="n">
        <v>25</v>
      </c>
    </row>
    <row r="66">
      <c r="A66" s="5" t="inlineStr">
        <is>
          <t>Corporate G&amp;A % of Total Rev</t>
        </is>
      </c>
      <c r="B66" s="10" t="n">
        <v>0.05</v>
      </c>
      <c r="C66" s="10" t="n">
        <v>0.04</v>
      </c>
      <c r="D66" s="10" t="n">
        <v>0.035</v>
      </c>
      <c r="E66" s="10" t="n">
        <v>0.03</v>
      </c>
      <c r="F66" s="10" t="n">
        <v>0.025</v>
      </c>
    </row>
    <row r="67">
      <c r="A67" s="5" t="inlineStr">
        <is>
          <t>Customer Rewards % of PB Rev</t>
        </is>
      </c>
      <c r="B67" s="10" t="n">
        <v>0.02</v>
      </c>
      <c r="C67" s="10" t="n">
        <v>0.02</v>
      </c>
      <c r="D67" s="10" t="n">
        <v>0.02</v>
      </c>
      <c r="E67" s="10" t="n">
        <v>0.02</v>
      </c>
      <c r="F67" s="10" t="n">
        <v>0.02</v>
      </c>
    </row>
    <row r="68">
      <c r="A68" s="5" t="inlineStr">
        <is>
          <t>D&amp;A % of Revenue</t>
        </is>
      </c>
      <c r="B68" s="10" t="n">
        <v>0.01</v>
      </c>
      <c r="C68" s="10" t="n">
        <v>0.01</v>
      </c>
      <c r="D68" s="10" t="n">
        <v>0.01</v>
      </c>
      <c r="E68" s="10" t="n">
        <v>0.01</v>
      </c>
      <c r="F68" s="10" t="n">
        <v>0.01</v>
      </c>
    </row>
    <row r="70">
      <c r="A70" s="9" t="inlineStr">
        <is>
          <t>INVESTMENT &amp; VALUATION</t>
        </is>
      </c>
    </row>
    <row r="71">
      <c r="A71" s="5" t="inlineStr">
        <is>
          <t>Seed Pre-Money Valuation ($M)</t>
        </is>
      </c>
      <c r="B71" s="13" t="n">
        <v>55</v>
      </c>
    </row>
    <row r="72">
      <c r="A72" s="5" t="inlineStr">
        <is>
          <t>Seed Share Price ($)</t>
        </is>
      </c>
      <c r="B72" s="6" t="n">
        <v>3.36</v>
      </c>
    </row>
    <row r="73">
      <c r="A73" s="5" t="inlineStr">
        <is>
          <t>Series A Pre-Money ($M)</t>
        </is>
      </c>
      <c r="B73" s="13" t="n">
        <v>105</v>
      </c>
    </row>
    <row r="74">
      <c r="A74" s="5" t="inlineStr">
        <is>
          <t>Series A Status</t>
        </is>
      </c>
      <c r="B74" s="14" t="inlineStr">
        <is>
          <t>TERM SHEET SIGNED</t>
        </is>
      </c>
    </row>
    <row r="75">
      <c r="A75" s="5" t="inlineStr">
        <is>
          <t>Revenue Multiple Low (SaaS)</t>
        </is>
      </c>
      <c r="B75" s="15" t="n">
        <v>5</v>
      </c>
    </row>
    <row r="76">
      <c r="A76" s="5" t="inlineStr">
        <is>
          <t>Revenue Multiple High (SaaS)</t>
        </is>
      </c>
      <c r="B76" s="15" t="n">
        <v>10</v>
      </c>
    </row>
    <row r="77">
      <c r="A77" s="5" t="inlineStr">
        <is>
          <t>PureBrain Standalone Multiple</t>
        </is>
      </c>
      <c r="B77" s="15" t="n">
        <v>14</v>
      </c>
    </row>
    <row r="78">
      <c r="A78" s="5" t="inlineStr">
        <is>
          <t>Year 6 Vision Revenue ($B)</t>
        </is>
      </c>
      <c r="B78" s="16" t="n">
        <v>13.3</v>
      </c>
    </row>
    <row r="79">
      <c r="A79" s="5" t="inlineStr">
        <is>
          <t>Year 6 Vision Valuation ($B)</t>
        </is>
      </c>
      <c r="B79" s="16" t="n">
        <v>133</v>
      </c>
    </row>
    <row r="81">
      <c r="A81" s="17" t="inlineStr">
        <is>
          <t>NOTE: Yellow cells = inputs you can change. Blue cells = formulas. Change any input and all 11 sheets recalculate automatically.</t>
        </is>
      </c>
    </row>
  </sheetData>
  <mergeCells count="12">
    <mergeCell ref="A2:F2"/>
    <mergeCell ref="A11:F11"/>
    <mergeCell ref="A51:F51"/>
    <mergeCell ref="A28:F28"/>
    <mergeCell ref="A1:F1"/>
    <mergeCell ref="D4:F4"/>
    <mergeCell ref="A45:F45"/>
    <mergeCell ref="A70:F70"/>
    <mergeCell ref="A58:F58"/>
    <mergeCell ref="A35:F35"/>
    <mergeCell ref="A4:C4"/>
    <mergeCell ref="A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8" customHeight="1">
      <c r="A1" s="18" t="inlineStr">
        <is>
          <t>PURE TECHNOLOGY — REVENUE PROJECTIONS BY BUSINESS UNIT</t>
        </is>
      </c>
    </row>
    <row r="2">
      <c r="A2" s="19" t="inlineStr">
        <is>
          <t>All figures in USD thousands unless noted</t>
        </is>
      </c>
    </row>
    <row r="4">
      <c r="A4" s="4" t="inlineStr">
        <is>
          <t>METRIC</t>
        </is>
      </c>
      <c r="B4" s="4" t="inlineStr">
        <is>
          <t>Y1 2026</t>
        </is>
      </c>
      <c r="C4" s="4" t="inlineStr">
        <is>
          <t>Y2 2027</t>
        </is>
      </c>
      <c r="D4" s="4" t="inlineStr">
        <is>
          <t>Y3 2028</t>
        </is>
      </c>
      <c r="E4" s="4" t="inlineStr">
        <is>
          <t>Y4 2029</t>
        </is>
      </c>
      <c r="F4" s="4" t="inlineStr">
        <is>
          <t>Y5 2030</t>
        </is>
      </c>
      <c r="G4" s="4" t="inlineStr">
        <is>
          <t>5-YR CAGR</t>
        </is>
      </c>
    </row>
    <row r="5">
      <c r="A5" s="3" t="inlineStr">
        <is>
          <t>PUREBRAIN.AI — SaaS Revenue</t>
        </is>
      </c>
    </row>
    <row r="6">
      <c r="A6" s="11" t="inlineStr">
        <is>
          <t>Year-End Customers</t>
        </is>
      </c>
      <c r="B6" s="20" t="n">
        <v>2900</v>
      </c>
      <c r="C6" s="20" t="n">
        <v>7700</v>
      </c>
      <c r="D6" s="20" t="n">
        <v>17300</v>
      </c>
      <c r="E6" s="20" t="n">
        <v>35300</v>
      </c>
      <c r="F6" s="20" t="n">
        <v>65300</v>
      </c>
    </row>
    <row r="7">
      <c r="A7" s="11" t="inlineStr">
        <is>
          <t>Blended ARPU ($/mo)</t>
        </is>
      </c>
      <c r="B7" s="20" t="n">
        <v>355</v>
      </c>
      <c r="C7" s="20" t="n">
        <v>390</v>
      </c>
      <c r="D7" s="20" t="n">
        <v>430</v>
      </c>
      <c r="E7" s="20" t="n">
        <v>480</v>
      </c>
      <c r="F7" s="20" t="n">
        <v>540</v>
      </c>
    </row>
    <row r="8">
      <c r="A8" s="11" t="inlineStr">
        <is>
          <t>Gross ARR ($000s)</t>
        </is>
      </c>
      <c r="B8" s="20" t="n">
        <v>12354</v>
      </c>
      <c r="C8" s="20" t="n">
        <v>36036</v>
      </c>
      <c r="D8" s="20" t="n">
        <v>89268</v>
      </c>
      <c r="E8" s="20" t="n">
        <v>203328</v>
      </c>
      <c r="F8" s="20" t="n">
        <v>423468</v>
      </c>
    </row>
    <row r="9">
      <c r="A9" s="5" t="inlineStr">
        <is>
          <t>Recognized Revenue (85%)</t>
        </is>
      </c>
      <c r="B9" s="21" t="n">
        <v>10501</v>
      </c>
      <c r="C9" s="21" t="n">
        <v>30631</v>
      </c>
      <c r="D9" s="21" t="n">
        <v>75878</v>
      </c>
      <c r="E9" s="21" t="n">
        <v>172829</v>
      </c>
      <c r="F9" s="21" t="n">
        <v>359948</v>
      </c>
    </row>
    <row r="10">
      <c r="A10" s="11" t="inlineStr">
        <is>
          <t xml:space="preserve">  of which: Intro Discount</t>
        </is>
      </c>
      <c r="B10" s="22" t="n">
        <v>-350</v>
      </c>
      <c r="C10" s="22" t="n">
        <v>-612</v>
      </c>
      <c r="D10" s="22" t="n">
        <v>-754</v>
      </c>
      <c r="E10" s="22" t="n">
        <v>-520</v>
      </c>
      <c r="F10" s="22" t="n">
        <v>-424</v>
      </c>
    </row>
    <row r="11">
      <c r="A11" s="5" t="inlineStr">
        <is>
          <t>Net Revenue Recognized</t>
        </is>
      </c>
      <c r="B11" s="20" t="n">
        <v>10151</v>
      </c>
      <c r="C11" s="20" t="n">
        <v>30019</v>
      </c>
      <c r="D11" s="20" t="n">
        <v>75124</v>
      </c>
      <c r="E11" s="20" t="n">
        <v>172309</v>
      </c>
      <c r="F11" s="20" t="n">
        <v>359524</v>
      </c>
      <c r="G11" s="23" t="n">
        <v>1.439522144920054</v>
      </c>
    </row>
    <row r="12">
      <c r="A12" s="11" t="inlineStr">
        <is>
          <t>PureBrain COGS ($000s)</t>
        </is>
      </c>
      <c r="B12" s="22" t="n">
        <v>-488</v>
      </c>
      <c r="C12" s="22" t="n">
        <v>-1133</v>
      </c>
      <c r="D12" s="22" t="n">
        <v>-2183</v>
      </c>
      <c r="E12" s="22" t="n">
        <v>-4022</v>
      </c>
      <c r="F12" s="22" t="n">
        <v>-6668</v>
      </c>
    </row>
    <row r="13">
      <c r="A13" s="5" t="inlineStr">
        <is>
          <t>PureBrain Gross Profit</t>
        </is>
      </c>
      <c r="B13" s="24" t="n">
        <v>9663</v>
      </c>
      <c r="C13" s="24" t="n">
        <v>28886</v>
      </c>
      <c r="D13" s="24" t="n">
        <v>72941</v>
      </c>
      <c r="E13" s="24" t="n">
        <v>168287</v>
      </c>
      <c r="F13" s="24" t="n">
        <v>352856</v>
      </c>
    </row>
    <row r="14">
      <c r="A14" s="5" t="inlineStr">
        <is>
          <t>PureBrain Gross Margin %</t>
        </is>
      </c>
      <c r="B14" s="21" t="n">
        <v>0.952</v>
      </c>
      <c r="C14" s="21" t="n">
        <v>0.962</v>
      </c>
      <c r="D14" s="21" t="n">
        <v>0.971</v>
      </c>
      <c r="E14" s="21" t="n">
        <v>0.976</v>
      </c>
      <c r="F14" s="21" t="n">
        <v>0.981</v>
      </c>
    </row>
    <row r="16">
      <c r="A16" s="9" t="inlineStr">
        <is>
          <t>PT CORE — Technology Solutions Business</t>
        </is>
      </c>
    </row>
    <row r="17">
      <c r="A17" s="11" t="inlineStr">
        <is>
          <t>PT Core Full-Year Run Rate ($000s)</t>
        </is>
      </c>
      <c r="B17" s="20" t="n">
        <v>462000</v>
      </c>
      <c r="C17" s="20" t="n">
        <v>508200</v>
      </c>
      <c r="D17" s="20" t="n">
        <v>559020</v>
      </c>
      <c r="E17" s="20" t="n">
        <v>614922</v>
      </c>
      <c r="F17" s="20" t="n">
        <v>676414</v>
      </c>
    </row>
    <row r="18">
      <c r="A18" s="11" t="inlineStr">
        <is>
          <t>Recognized Revenue (Y1 ramp)</t>
        </is>
      </c>
      <c r="B18" s="20" t="n">
        <v>269500</v>
      </c>
      <c r="C18" s="20" t="n">
        <v>508200</v>
      </c>
      <c r="D18" s="20" t="n">
        <v>559020</v>
      </c>
      <c r="E18" s="20" t="n">
        <v>614922</v>
      </c>
      <c r="F18" s="20" t="n">
        <v>676414</v>
      </c>
    </row>
    <row r="19">
      <c r="A19" s="11" t="inlineStr">
        <is>
          <t>PT Core COGS (45%→41%)</t>
        </is>
      </c>
      <c r="B19" s="25" t="n">
        <v>-121275</v>
      </c>
      <c r="C19" s="25" t="n">
        <v>-223608</v>
      </c>
      <c r="D19" s="25" t="n">
        <v>-240779</v>
      </c>
      <c r="E19" s="25" t="n">
        <v>-258267</v>
      </c>
      <c r="F19" s="25" t="n">
        <v>-277530</v>
      </c>
    </row>
    <row r="20">
      <c r="A20" s="5" t="inlineStr">
        <is>
          <t>PT Core Gross Profit</t>
        </is>
      </c>
      <c r="B20" s="20" t="n">
        <v>148225</v>
      </c>
      <c r="C20" s="20" t="n">
        <v>284592</v>
      </c>
      <c r="D20" s="20" t="n">
        <v>318241</v>
      </c>
      <c r="E20" s="20" t="n">
        <v>356655</v>
      </c>
      <c r="F20" s="20" t="n">
        <v>398884</v>
      </c>
    </row>
    <row r="21">
      <c r="A21" s="5" t="inlineStr">
        <is>
          <t>PT Core Gross Margin %</t>
        </is>
      </c>
      <c r="B21" s="21" t="n">
        <v>0.55</v>
      </c>
      <c r="C21" s="21" t="n">
        <v>0.5600000000000001</v>
      </c>
      <c r="D21" s="21" t="n">
        <v>0.57</v>
      </c>
      <c r="E21" s="21" t="n">
        <v>0.58</v>
      </c>
      <c r="F21" s="21" t="n">
        <v>0.59</v>
      </c>
    </row>
    <row r="22">
      <c r="A22" s="11" t="inlineStr">
        <is>
          <t>PT Core OpEx (20% of Rev)</t>
        </is>
      </c>
      <c r="B22" s="25" t="n">
        <v>-53900</v>
      </c>
      <c r="C22" s="25" t="n">
        <v>-101640</v>
      </c>
      <c r="D22" s="25" t="n">
        <v>-111804</v>
      </c>
      <c r="E22" s="25" t="n">
        <v>-122984</v>
      </c>
      <c r="F22" s="25" t="n">
        <v>-135283</v>
      </c>
    </row>
    <row r="23">
      <c r="A23" s="5" t="inlineStr">
        <is>
          <t>PT Core EBITDA</t>
        </is>
      </c>
      <c r="B23" s="24" t="n">
        <v>94325</v>
      </c>
      <c r="C23" s="24" t="n">
        <v>182952</v>
      </c>
      <c r="D23" s="24" t="n">
        <v>206437</v>
      </c>
      <c r="E23" s="24" t="n">
        <v>233671</v>
      </c>
      <c r="F23" s="24" t="n">
        <v>263601</v>
      </c>
      <c r="G23" s="23" t="n">
        <v>0.2929450264415487</v>
      </c>
    </row>
    <row r="24">
      <c r="A24" s="5" t="inlineStr">
        <is>
          <t>PT Core EBITDA Margin %</t>
        </is>
      </c>
      <c r="B24" s="21" t="n">
        <v>0.35</v>
      </c>
      <c r="C24" s="21" t="n">
        <v>0.36</v>
      </c>
      <c r="D24" s="21" t="n">
        <v>0.37</v>
      </c>
      <c r="E24" s="21" t="n">
        <v>0.38</v>
      </c>
      <c r="F24" s="21" t="n">
        <v>0.39</v>
      </c>
    </row>
    <row r="26">
      <c r="A26" s="9" t="inlineStr">
        <is>
          <t>PUREMARKETING.AI — Managed Services</t>
        </is>
      </c>
    </row>
    <row r="27">
      <c r="A27" s="11" t="inlineStr">
        <is>
          <t>Revenue ($000s)</t>
        </is>
      </c>
      <c r="B27" s="26" t="n">
        <v>1800</v>
      </c>
      <c r="C27" s="26" t="n">
        <v>2500</v>
      </c>
      <c r="D27" s="26" t="n">
        <v>3500</v>
      </c>
      <c r="E27" s="26" t="n">
        <v>4200</v>
      </c>
      <c r="F27" s="26" t="n">
        <v>5000</v>
      </c>
    </row>
    <row r="28">
      <c r="A28" s="11" t="inlineStr">
        <is>
          <t>Gross Profit (45-50%)</t>
        </is>
      </c>
      <c r="B28" s="26" t="n">
        <v>810</v>
      </c>
      <c r="C28" s="26" t="n">
        <v>1150</v>
      </c>
      <c r="D28" s="26" t="n">
        <v>1645</v>
      </c>
      <c r="E28" s="26" t="n">
        <v>2016</v>
      </c>
      <c r="F28" s="26" t="n">
        <v>2500</v>
      </c>
    </row>
    <row r="29">
      <c r="A29" s="5" t="inlineStr">
        <is>
          <t>Gross Margin %</t>
        </is>
      </c>
      <c r="B29" s="21" t="n">
        <v>0.45</v>
      </c>
      <c r="C29" s="21" t="n">
        <v>0.46</v>
      </c>
      <c r="D29" s="21" t="n">
        <v>0.47</v>
      </c>
      <c r="E29" s="21" t="n">
        <v>0.48</v>
      </c>
      <c r="F29" s="21" t="n">
        <v>0.5</v>
      </c>
    </row>
    <row r="30">
      <c r="A30" s="11" t="inlineStr">
        <is>
          <t>OpEx ($000s)</t>
        </is>
      </c>
      <c r="B30" s="25" t="n">
        <v>-540</v>
      </c>
      <c r="C30" s="25" t="n">
        <v>-700</v>
      </c>
      <c r="D30" s="25" t="n">
        <v>-910</v>
      </c>
      <c r="E30" s="25" t="n">
        <v>-1008</v>
      </c>
      <c r="F30" s="25" t="n">
        <v>-1100</v>
      </c>
    </row>
    <row r="31">
      <c r="A31" s="5" t="inlineStr">
        <is>
          <t>EBITDA ($000s)</t>
        </is>
      </c>
      <c r="B31" s="24" t="n">
        <v>270</v>
      </c>
      <c r="C31" s="24" t="n">
        <v>450</v>
      </c>
      <c r="D31" s="24" t="n">
        <v>735</v>
      </c>
      <c r="E31" s="24" t="n">
        <v>1008</v>
      </c>
      <c r="F31" s="24" t="n">
        <v>1400</v>
      </c>
    </row>
    <row r="32">
      <c r="A32" s="5" t="inlineStr">
        <is>
          <t>EBITDA Margin %</t>
        </is>
      </c>
      <c r="B32" s="21" t="n">
        <v>0.15</v>
      </c>
      <c r="C32" s="21" t="n">
        <v>0.18</v>
      </c>
      <c r="D32" s="21" t="n">
        <v>0.21</v>
      </c>
      <c r="E32" s="21" t="n">
        <v>0.24</v>
      </c>
      <c r="F32" s="21" t="n">
        <v>0.28</v>
      </c>
    </row>
    <row r="34">
      <c r="A34" s="9" t="inlineStr">
        <is>
          <t>PURE INFLUENCE — Creator Platform (MVP mid-2026)</t>
        </is>
      </c>
    </row>
    <row r="35">
      <c r="A35" s="11" t="inlineStr">
        <is>
          <t>Revenue ($000s)</t>
        </is>
      </c>
      <c r="B35" s="27" t="n">
        <v>0</v>
      </c>
      <c r="C35" s="27" t="n">
        <v>300</v>
      </c>
      <c r="D35" s="27" t="n">
        <v>1200</v>
      </c>
      <c r="E35" s="27" t="n">
        <v>3000</v>
      </c>
      <c r="F35" s="27" t="n">
        <v>6500</v>
      </c>
    </row>
    <row r="36">
      <c r="A36" s="11" t="inlineStr">
        <is>
          <t>Gross Profit (75% GM)</t>
        </is>
      </c>
      <c r="B36" s="27" t="n">
        <v>0</v>
      </c>
      <c r="C36" s="27" t="n">
        <v>210</v>
      </c>
      <c r="D36" s="27" t="n">
        <v>876</v>
      </c>
      <c r="E36" s="27" t="n">
        <v>2250</v>
      </c>
      <c r="F36" s="27" t="n">
        <v>5070</v>
      </c>
    </row>
    <row r="37">
      <c r="A37" s="5" t="inlineStr">
        <is>
          <t>Gross Margin %</t>
        </is>
      </c>
      <c r="B37" s="21" t="n">
        <v>0</v>
      </c>
      <c r="C37" s="21" t="n">
        <v>0.7</v>
      </c>
      <c r="D37" s="21" t="n">
        <v>0.73</v>
      </c>
      <c r="E37" s="21" t="n">
        <v>0.75</v>
      </c>
      <c r="F37" s="21" t="n">
        <v>0.78</v>
      </c>
    </row>
    <row r="38">
      <c r="A38" s="11" t="inlineStr">
        <is>
          <t>OpEx ($000s)</t>
        </is>
      </c>
      <c r="B38" s="27" t="n">
        <v>0</v>
      </c>
      <c r="C38" s="25" t="n">
        <v>-180</v>
      </c>
      <c r="D38" s="25" t="n">
        <v>-600</v>
      </c>
      <c r="E38" s="25" t="n">
        <v>-1200</v>
      </c>
      <c r="F38" s="25" t="n">
        <v>-1950</v>
      </c>
    </row>
    <row r="39">
      <c r="A39" s="5" t="inlineStr">
        <is>
          <t>EBITDA ($000s)</t>
        </is>
      </c>
      <c r="B39" s="24" t="n">
        <v>0</v>
      </c>
      <c r="C39" s="24" t="n">
        <v>30</v>
      </c>
      <c r="D39" s="24" t="n">
        <v>276</v>
      </c>
      <c r="E39" s="24" t="n">
        <v>1050</v>
      </c>
      <c r="F39" s="24" t="n">
        <v>3120</v>
      </c>
    </row>
    <row r="41">
      <c r="A41" s="28" t="inlineStr">
        <is>
          <t>TOTAL COMPANY — CONSOLIDATED REVENUE SUMMARY</t>
        </is>
      </c>
    </row>
    <row r="42">
      <c r="A42" s="29" t="inlineStr">
        <is>
          <t>METRIC</t>
        </is>
      </c>
      <c r="B42" s="29" t="inlineStr">
        <is>
          <t>Y1 2026</t>
        </is>
      </c>
      <c r="C42" s="29" t="inlineStr">
        <is>
          <t>Y2 2027</t>
        </is>
      </c>
      <c r="D42" s="29" t="inlineStr">
        <is>
          <t>Y3 2028</t>
        </is>
      </c>
      <c r="E42" s="29" t="inlineStr">
        <is>
          <t>Y4 2029</t>
        </is>
      </c>
      <c r="F42" s="29" t="inlineStr">
        <is>
          <t>Y5 2030</t>
        </is>
      </c>
      <c r="G42" s="29" t="inlineStr">
        <is>
          <t>5-YR CAGR</t>
        </is>
      </c>
    </row>
    <row r="43">
      <c r="A43" s="11" t="inlineStr">
        <is>
          <t>PureBrain Revenue ($000s)</t>
        </is>
      </c>
      <c r="B43" s="20" t="n">
        <v>10151</v>
      </c>
      <c r="C43" s="20" t="n">
        <v>30019</v>
      </c>
      <c r="D43" s="20" t="n">
        <v>75124</v>
      </c>
      <c r="E43" s="20" t="n">
        <v>172309</v>
      </c>
      <c r="F43" s="20" t="n">
        <v>359524</v>
      </c>
    </row>
    <row r="44">
      <c r="A44" s="11" t="inlineStr">
        <is>
          <t>PT Core Revenue ($000s)</t>
        </is>
      </c>
      <c r="B44" s="20" t="n">
        <v>269500</v>
      </c>
      <c r="C44" s="20" t="n">
        <v>508200</v>
      </c>
      <c r="D44" s="20" t="n">
        <v>559020</v>
      </c>
      <c r="E44" s="20" t="n">
        <v>614922</v>
      </c>
      <c r="F44" s="20" t="n">
        <v>676414</v>
      </c>
    </row>
    <row r="45">
      <c r="A45" s="11" t="inlineStr">
        <is>
          <t>PureMarketing Revenue</t>
        </is>
      </c>
      <c r="B45" s="20" t="n">
        <v>1800</v>
      </c>
      <c r="C45" s="20" t="n">
        <v>2500</v>
      </c>
      <c r="D45" s="20" t="n">
        <v>3500</v>
      </c>
      <c r="E45" s="20" t="n">
        <v>4200</v>
      </c>
      <c r="F45" s="20" t="n">
        <v>5000</v>
      </c>
    </row>
    <row r="46">
      <c r="A46" s="11" t="inlineStr">
        <is>
          <t>Pure Influence Revenue</t>
        </is>
      </c>
      <c r="B46" s="20" t="n">
        <v>0</v>
      </c>
      <c r="C46" s="20" t="n">
        <v>300</v>
      </c>
      <c r="D46" s="20" t="n">
        <v>1200</v>
      </c>
      <c r="E46" s="20" t="n">
        <v>3000</v>
      </c>
      <c r="F46" s="20" t="n">
        <v>6500</v>
      </c>
    </row>
    <row r="47">
      <c r="A47" s="5" t="inlineStr">
        <is>
          <t>TOTAL COMPANY REVENUE</t>
        </is>
      </c>
      <c r="B47" s="30" t="n">
        <v>281451</v>
      </c>
      <c r="C47" s="30" t="n">
        <v>541019</v>
      </c>
      <c r="D47" s="30" t="n">
        <v>638844</v>
      </c>
      <c r="E47" s="30" t="n">
        <v>794431</v>
      </c>
      <c r="F47" s="30" t="n">
        <v>1047438</v>
      </c>
      <c r="G47" s="31" t="n">
        <v>0.388933274556301</v>
      </c>
    </row>
    <row r="48">
      <c r="A48" s="5" t="inlineStr">
        <is>
          <t>PureBrain % of Total</t>
        </is>
      </c>
      <c r="B48" s="32" t="n">
        <v>0.036</v>
      </c>
      <c r="C48" s="32" t="n">
        <v>0.056</v>
      </c>
      <c r="D48" s="32" t="n">
        <v>0.118</v>
      </c>
      <c r="E48" s="32" t="n">
        <v>0.217</v>
      </c>
      <c r="F48" s="33" t="n">
        <v>0.343</v>
      </c>
    </row>
    <row r="49">
      <c r="A49" s="5" t="inlineStr">
        <is>
          <t>TOTAL GROSS PROFIT</t>
        </is>
      </c>
      <c r="B49" s="30" t="n">
        <v>158698</v>
      </c>
      <c r="C49" s="30" t="n">
        <v>314838</v>
      </c>
      <c r="D49" s="30" t="n">
        <v>393703</v>
      </c>
      <c r="E49" s="30" t="n">
        <v>529208</v>
      </c>
      <c r="F49" s="30" t="n">
        <v>759310</v>
      </c>
    </row>
    <row r="50">
      <c r="A50" s="5" t="inlineStr">
        <is>
          <t>TOTAL GROSS MARGIN %</t>
        </is>
      </c>
      <c r="B50" s="33" t="n">
        <v>0.5639999999999999</v>
      </c>
      <c r="C50" s="33" t="n">
        <v>0.582</v>
      </c>
      <c r="D50" s="33" t="n">
        <v>0.616</v>
      </c>
      <c r="E50" s="33" t="n">
        <v>0.666</v>
      </c>
      <c r="F50" s="33" t="n">
        <v>0.725</v>
      </c>
    </row>
    <row r="51">
      <c r="A51" s="5" t="inlineStr">
        <is>
          <t>TOTAL EBITDA</t>
        </is>
      </c>
      <c r="B51" s="30" t="n">
        <v>94595</v>
      </c>
      <c r="C51" s="30" t="n">
        <v>183432</v>
      </c>
      <c r="D51" s="30" t="n">
        <v>207448</v>
      </c>
      <c r="E51" s="30" t="n">
        <v>235729</v>
      </c>
      <c r="F51" s="30" t="n">
        <v>268121</v>
      </c>
    </row>
    <row r="52">
      <c r="A52" s="5" t="inlineStr">
        <is>
          <t>TOTAL EBITDA MARGIN %</t>
        </is>
      </c>
      <c r="B52" s="33" t="n">
        <v>0.336</v>
      </c>
      <c r="C52" s="33" t="n">
        <v>0.339</v>
      </c>
      <c r="D52" s="33" t="n">
        <v>0.325</v>
      </c>
      <c r="E52" s="33" t="n">
        <v>0.297</v>
      </c>
      <c r="F52" s="33" t="n">
        <v>0.256</v>
      </c>
    </row>
  </sheetData>
  <mergeCells count="7">
    <mergeCell ref="A1:G1"/>
    <mergeCell ref="A34:G34"/>
    <mergeCell ref="A26:G26"/>
    <mergeCell ref="A16:G16"/>
    <mergeCell ref="A2:G2"/>
    <mergeCell ref="A41:G41"/>
    <mergeCell ref="A5:G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8" customHeight="1">
      <c r="A1" s="18" t="inlineStr">
        <is>
          <t>PURE TECHNOLOGY — P&amp;L BY BUSINESS UNIT (KEY FIX FROM V1)</t>
        </is>
      </c>
    </row>
    <row r="2">
      <c r="A2" s="34" t="inlineStr">
        <is>
          <t>This sheet shows EACH unit's separate economics. PureBrain = 97% GM SaaS. PT Core = 30-40% NET margin business.</t>
        </is>
      </c>
    </row>
    <row r="4">
      <c r="A4" s="35" t="inlineStr">
        <is>
          <t>PUREBRAIN.AI — STANDALONE P&amp;L (97% Gross Margin SaaS)</t>
        </is>
      </c>
    </row>
    <row r="5">
      <c r="A5" s="36" t="inlineStr">
        <is>
          <t>KEY: PureBrain runs on AI — very few people needed. COGS = Claude API + infra only (~$14/customer/mo → decreasing)</t>
        </is>
      </c>
    </row>
    <row r="6">
      <c r="A6" s="4" t="inlineStr">
        <is>
          <t>METRIC</t>
        </is>
      </c>
      <c r="B6" s="4" t="inlineStr">
        <is>
          <t>Y1 2026</t>
        </is>
      </c>
      <c r="C6" s="4" t="inlineStr">
        <is>
          <t>Y2 2027</t>
        </is>
      </c>
      <c r="D6" s="4" t="inlineStr">
        <is>
          <t>Y3 2028</t>
        </is>
      </c>
      <c r="E6" s="4" t="inlineStr">
        <is>
          <t>Y4 2029</t>
        </is>
      </c>
      <c r="F6" s="4" t="inlineStr">
        <is>
          <t>Y5 2030</t>
        </is>
      </c>
    </row>
    <row r="7">
      <c r="A7" s="11" t="inlineStr">
        <is>
          <t>Revenue</t>
        </is>
      </c>
      <c r="B7" s="20" t="n">
        <v>10151</v>
      </c>
      <c r="C7" s="20" t="n">
        <v>30019</v>
      </c>
      <c r="D7" s="20" t="n">
        <v>75124</v>
      </c>
      <c r="E7" s="20" t="n">
        <v>172309</v>
      </c>
      <c r="F7" s="20" t="n">
        <v>359524</v>
      </c>
    </row>
    <row r="8">
      <c r="A8" s="11" t="inlineStr">
        <is>
          <t xml:space="preserve">  COGS (Claude + Infra)</t>
        </is>
      </c>
      <c r="B8" s="25" t="n">
        <v>-488</v>
      </c>
      <c r="C8" s="25" t="n">
        <v>-1133</v>
      </c>
      <c r="D8" s="25" t="n">
        <v>-2183</v>
      </c>
      <c r="E8" s="25" t="n">
        <v>-4022</v>
      </c>
      <c r="F8" s="25" t="n">
        <v>-6668</v>
      </c>
    </row>
    <row r="9">
      <c r="A9" s="5" t="inlineStr">
        <is>
          <t>GROSS PROFIT</t>
        </is>
      </c>
      <c r="B9" s="24" t="n">
        <v>9663</v>
      </c>
      <c r="C9" s="24" t="n">
        <v>28886</v>
      </c>
      <c r="D9" s="24" t="n">
        <v>72941</v>
      </c>
      <c r="E9" s="24" t="n">
        <v>168287</v>
      </c>
      <c r="F9" s="24" t="n">
        <v>352856</v>
      </c>
    </row>
    <row r="10">
      <c r="A10" s="5" t="inlineStr">
        <is>
          <t>GROSS MARGIN %</t>
        </is>
      </c>
      <c r="B10" s="33" t="n">
        <v>0.952</v>
      </c>
      <c r="C10" s="33" t="n">
        <v>0.962</v>
      </c>
      <c r="D10" s="33" t="n">
        <v>0.971</v>
      </c>
      <c r="E10" s="33" t="n">
        <v>0.976</v>
      </c>
      <c r="F10" s="33" t="n">
        <v>0.981</v>
      </c>
    </row>
    <row r="11">
      <c r="A11" s="11" t="inlineStr">
        <is>
          <t xml:space="preserve">  S&amp;M (AI-driven, low)</t>
        </is>
      </c>
      <c r="B11" s="25" t="n">
        <v>-305</v>
      </c>
      <c r="C11" s="25" t="n">
        <v>-901</v>
      </c>
      <c r="D11" s="25" t="n">
        <v>-2254</v>
      </c>
      <c r="E11" s="25" t="n">
        <v>-5169</v>
      </c>
      <c r="F11" s="25" t="n">
        <v>-10786</v>
      </c>
    </row>
    <row r="12">
      <c r="A12" s="11" t="inlineStr">
        <is>
          <t xml:space="preserve">  R&amp;D (AI tooling only)</t>
        </is>
      </c>
      <c r="B12" s="25" t="n">
        <v>-203</v>
      </c>
      <c r="C12" s="25" t="n">
        <v>-601</v>
      </c>
      <c r="D12" s="25" t="n">
        <v>-1503</v>
      </c>
      <c r="E12" s="25" t="n">
        <v>-3446</v>
      </c>
      <c r="F12" s="25" t="n">
        <v>-7190</v>
      </c>
    </row>
    <row r="13">
      <c r="A13" s="11" t="inlineStr">
        <is>
          <t xml:space="preserve">  G&amp;A (minimal)</t>
        </is>
      </c>
      <c r="B13" s="25" t="n">
        <v>-254</v>
      </c>
      <c r="C13" s="25" t="n">
        <v>-601</v>
      </c>
      <c r="D13" s="25" t="n">
        <v>-1503</v>
      </c>
      <c r="E13" s="25" t="n">
        <v>-3446</v>
      </c>
      <c r="F13" s="25" t="n">
        <v>-7190</v>
      </c>
    </row>
    <row r="14">
      <c r="A14" s="11" t="inlineStr">
        <is>
          <t xml:space="preserve">  Customer Rewards (2%)</t>
        </is>
      </c>
      <c r="B14" s="25" t="n">
        <v>-203</v>
      </c>
      <c r="C14" s="25" t="n">
        <v>-601</v>
      </c>
      <c r="D14" s="25" t="n">
        <v>-1503</v>
      </c>
      <c r="E14" s="25" t="n">
        <v>-3446</v>
      </c>
      <c r="F14" s="25" t="n">
        <v>-7190</v>
      </c>
    </row>
    <row r="15">
      <c r="A15" s="11" t="inlineStr">
        <is>
          <t>TOTAL OPEX</t>
        </is>
      </c>
      <c r="B15" s="25" t="n">
        <v>-965</v>
      </c>
      <c r="C15" s="25" t="n">
        <v>-2704</v>
      </c>
      <c r="D15" s="25" t="n">
        <v>-6763</v>
      </c>
      <c r="E15" s="25" t="n">
        <v>-15507</v>
      </c>
      <c r="F15" s="25" t="n">
        <v>-32356</v>
      </c>
    </row>
    <row r="16">
      <c r="A16" s="5" t="inlineStr">
        <is>
          <t>EBITDA</t>
        </is>
      </c>
      <c r="B16" s="24" t="n">
        <v>8698</v>
      </c>
      <c r="C16" s="24" t="n">
        <v>26182</v>
      </c>
      <c r="D16" s="24" t="n">
        <v>66178</v>
      </c>
      <c r="E16" s="24" t="n">
        <v>152780</v>
      </c>
      <c r="F16" s="24" t="n">
        <v>320500</v>
      </c>
    </row>
    <row r="17">
      <c r="A17" s="5" t="inlineStr">
        <is>
          <t>EBITDA MARGIN %</t>
        </is>
      </c>
      <c r="B17" s="33" t="n">
        <v>0.857</v>
      </c>
      <c r="C17" s="33" t="n">
        <v>0.872</v>
      </c>
      <c r="D17" s="33" t="n">
        <v>0.881</v>
      </c>
      <c r="E17" s="33" t="n">
        <v>0.887</v>
      </c>
      <c r="F17" s="33" t="n">
        <v>0.891</v>
      </c>
    </row>
    <row r="18">
      <c r="A18" s="11" t="inlineStr">
        <is>
          <t>D&amp;A (1% of Rev)</t>
        </is>
      </c>
      <c r="B18" s="25" t="n">
        <v>-102</v>
      </c>
      <c r="C18" s="25" t="n">
        <v>-300</v>
      </c>
      <c r="D18" s="25" t="n">
        <v>-751</v>
      </c>
      <c r="E18" s="25" t="n">
        <v>-1723</v>
      </c>
      <c r="F18" s="25" t="n">
        <v>-3595</v>
      </c>
    </row>
    <row r="19">
      <c r="A19" s="5" t="inlineStr">
        <is>
          <t>NET INCOME</t>
        </is>
      </c>
      <c r="B19" s="24" t="n">
        <v>8596</v>
      </c>
      <c r="C19" s="24" t="n">
        <v>25882</v>
      </c>
      <c r="D19" s="24" t="n">
        <v>65427</v>
      </c>
      <c r="E19" s="24" t="n">
        <v>151057</v>
      </c>
      <c r="F19" s="24" t="n">
        <v>316905</v>
      </c>
    </row>
    <row r="20">
      <c r="A20" s="5" t="inlineStr">
        <is>
          <t>NET MARGIN %</t>
        </is>
      </c>
      <c r="B20" s="33" t="n">
        <v>0.847</v>
      </c>
      <c r="C20" s="33" t="n">
        <v>0.862</v>
      </c>
      <c r="D20" s="33" t="n">
        <v>0.871</v>
      </c>
      <c r="E20" s="33" t="n">
        <v>0.877</v>
      </c>
      <c r="F20" s="33" t="n">
        <v>0.881</v>
      </c>
    </row>
    <row r="22">
      <c r="A22" s="37" t="inlineStr">
        <is>
          <t>PT CORE — Technology Solutions P&amp;L (30-40% NET Margin — Jared Confirmed)</t>
        </is>
      </c>
    </row>
    <row r="23">
      <c r="A23" s="36" t="inlineStr">
        <is>
          <t>PT Core established business with 30-40% NET margin. Mixed tech/services business, NOT hardware-only.</t>
        </is>
      </c>
    </row>
    <row r="24">
      <c r="A24" s="4" t="inlineStr">
        <is>
          <t>METRIC</t>
        </is>
      </c>
      <c r="B24" s="4" t="inlineStr">
        <is>
          <t>Y1 2026</t>
        </is>
      </c>
      <c r="C24" s="4" t="inlineStr">
        <is>
          <t>Y2 2027</t>
        </is>
      </c>
      <c r="D24" s="4" t="inlineStr">
        <is>
          <t>Y3 2028</t>
        </is>
      </c>
      <c r="E24" s="4" t="inlineStr">
        <is>
          <t>Y4 2029</t>
        </is>
      </c>
      <c r="F24" s="4" t="inlineStr">
        <is>
          <t>Y5 2030</t>
        </is>
      </c>
    </row>
    <row r="25">
      <c r="A25" s="11" t="inlineStr">
        <is>
          <t>Revenue (recognized)</t>
        </is>
      </c>
      <c r="B25" s="20" t="n">
        <v>269500</v>
      </c>
      <c r="C25" s="20" t="n">
        <v>508200</v>
      </c>
      <c r="D25" s="20" t="n">
        <v>559020</v>
      </c>
      <c r="E25" s="20" t="n">
        <v>614922</v>
      </c>
      <c r="F25" s="20" t="n">
        <v>676414</v>
      </c>
    </row>
    <row r="26">
      <c r="A26" s="11" t="inlineStr">
        <is>
          <t xml:space="preserve">  COGS (45%→41%)</t>
        </is>
      </c>
      <c r="B26" s="25" t="n">
        <v>-121275</v>
      </c>
      <c r="C26" s="25" t="n">
        <v>-223608</v>
      </c>
      <c r="D26" s="25" t="n">
        <v>-240779</v>
      </c>
      <c r="E26" s="25" t="n">
        <v>-258267</v>
      </c>
      <c r="F26" s="25" t="n">
        <v>-277530</v>
      </c>
    </row>
    <row r="27">
      <c r="A27" s="5" t="inlineStr">
        <is>
          <t>GROSS PROFIT</t>
        </is>
      </c>
      <c r="B27" s="24" t="n">
        <v>148225</v>
      </c>
      <c r="C27" s="24" t="n">
        <v>284592</v>
      </c>
      <c r="D27" s="24" t="n">
        <v>318241</v>
      </c>
      <c r="E27" s="24" t="n">
        <v>356655</v>
      </c>
      <c r="F27" s="24" t="n">
        <v>398884</v>
      </c>
    </row>
    <row r="28">
      <c r="A28" s="5" t="inlineStr">
        <is>
          <t>GROSS MARGIN %</t>
        </is>
      </c>
      <c r="B28" s="33" t="n">
        <v>0.55</v>
      </c>
      <c r="C28" s="33" t="n">
        <v>0.5600000000000001</v>
      </c>
      <c r="D28" s="33" t="n">
        <v>0.57</v>
      </c>
      <c r="E28" s="33" t="n">
        <v>0.58</v>
      </c>
      <c r="F28" s="33" t="n">
        <v>0.59</v>
      </c>
    </row>
    <row r="29">
      <c r="A29" s="11" t="inlineStr">
        <is>
          <t xml:space="preserve">  Sales &amp; Operations</t>
        </is>
      </c>
      <c r="B29" s="25" t="n">
        <v>-26950</v>
      </c>
      <c r="C29" s="25" t="n">
        <v>-50820</v>
      </c>
      <c r="D29" s="25" t="n">
        <v>-55902</v>
      </c>
      <c r="E29" s="25" t="n">
        <v>-61492</v>
      </c>
      <c r="F29" s="25" t="n">
        <v>-67641</v>
      </c>
    </row>
    <row r="30">
      <c r="A30" s="11" t="inlineStr">
        <is>
          <t xml:space="preserve">  G&amp;A &amp; Admin</t>
        </is>
      </c>
      <c r="B30" s="25" t="n">
        <v>-26950</v>
      </c>
      <c r="C30" s="25" t="n">
        <v>-50820</v>
      </c>
      <c r="D30" s="25" t="n">
        <v>-55902</v>
      </c>
      <c r="E30" s="25" t="n">
        <v>-61492</v>
      </c>
      <c r="F30" s="25" t="n">
        <v>-67641</v>
      </c>
    </row>
    <row r="31">
      <c r="A31" s="11" t="inlineStr">
        <is>
          <t>TOTAL OPEX</t>
        </is>
      </c>
      <c r="B31" s="25" t="n">
        <v>-53900</v>
      </c>
      <c r="C31" s="25" t="n">
        <v>-101640</v>
      </c>
      <c r="D31" s="25" t="n">
        <v>-111804</v>
      </c>
      <c r="E31" s="25" t="n">
        <v>-122984</v>
      </c>
      <c r="F31" s="25" t="n">
        <v>-135283</v>
      </c>
    </row>
    <row r="32">
      <c r="A32" s="5" t="inlineStr">
        <is>
          <t>EBITDA</t>
        </is>
      </c>
      <c r="B32" s="24" t="n">
        <v>94325</v>
      </c>
      <c r="C32" s="24" t="n">
        <v>182952</v>
      </c>
      <c r="D32" s="24" t="n">
        <v>206437</v>
      </c>
      <c r="E32" s="24" t="n">
        <v>233671</v>
      </c>
      <c r="F32" s="24" t="n">
        <v>263601</v>
      </c>
    </row>
    <row r="33">
      <c r="A33" s="5" t="inlineStr">
        <is>
          <t>EBITDA MARGIN %</t>
        </is>
      </c>
      <c r="B33" s="33" t="n">
        <v>0.35</v>
      </c>
      <c r="C33" s="33" t="n">
        <v>0.36</v>
      </c>
      <c r="D33" s="33" t="n">
        <v>0.37</v>
      </c>
      <c r="E33" s="33" t="n">
        <v>0.38</v>
      </c>
      <c r="F33" s="33" t="n">
        <v>0.39</v>
      </c>
    </row>
    <row r="34">
      <c r="A34" s="11" t="inlineStr">
        <is>
          <t>D&amp;A (1% of Rev)</t>
        </is>
      </c>
      <c r="B34" s="25" t="n">
        <v>-2695</v>
      </c>
      <c r="C34" s="25" t="n">
        <v>-5082</v>
      </c>
      <c r="D34" s="25" t="n">
        <v>-5590</v>
      </c>
      <c r="E34" s="25" t="n">
        <v>-6149</v>
      </c>
      <c r="F34" s="25" t="n">
        <v>-6764</v>
      </c>
    </row>
    <row r="35">
      <c r="A35" s="5" t="inlineStr">
        <is>
          <t>NET INCOME</t>
        </is>
      </c>
      <c r="B35" s="24" t="n">
        <v>91630</v>
      </c>
      <c r="C35" s="24" t="n">
        <v>177870</v>
      </c>
      <c r="D35" s="24" t="n">
        <v>200847</v>
      </c>
      <c r="E35" s="24" t="n">
        <v>227522</v>
      </c>
      <c r="F35" s="24" t="n">
        <v>256837</v>
      </c>
    </row>
    <row r="36">
      <c r="A36" s="5" t="inlineStr">
        <is>
          <t>NET MARGIN %</t>
        </is>
      </c>
      <c r="B36" s="33" t="n">
        <v>0.34</v>
      </c>
      <c r="C36" s="33" t="n">
        <v>0.35</v>
      </c>
      <c r="D36" s="33" t="n">
        <v>0.36</v>
      </c>
      <c r="E36" s="33" t="n">
        <v>0.37</v>
      </c>
      <c r="F36" s="33" t="n">
        <v>0.38</v>
      </c>
    </row>
    <row r="38">
      <c r="A38" s="38" t="inlineStr">
        <is>
          <t>PUREMARKETING.AI — Managed Services P&amp;L</t>
        </is>
      </c>
    </row>
    <row r="39">
      <c r="A39" s="36" t="inlineStr">
        <is>
          <t>Services business — lower margins than SaaS but steady and growing.</t>
        </is>
      </c>
    </row>
    <row r="40">
      <c r="A40" s="4" t="inlineStr">
        <is>
          <t>METRIC</t>
        </is>
      </c>
      <c r="B40" s="4" t="inlineStr">
        <is>
          <t>Y1 2026</t>
        </is>
      </c>
      <c r="C40" s="4" t="inlineStr">
        <is>
          <t>Y2 2027</t>
        </is>
      </c>
      <c r="D40" s="4" t="inlineStr">
        <is>
          <t>Y3 2028</t>
        </is>
      </c>
      <c r="E40" s="4" t="inlineStr">
        <is>
          <t>Y4 2029</t>
        </is>
      </c>
      <c r="F40" s="4" t="inlineStr">
        <is>
          <t>Y5 2030</t>
        </is>
      </c>
    </row>
    <row r="41">
      <c r="A41" s="11" t="inlineStr">
        <is>
          <t>Revenue</t>
        </is>
      </c>
      <c r="B41" s="20" t="n">
        <v>1800</v>
      </c>
      <c r="C41" s="20" t="n">
        <v>2500</v>
      </c>
      <c r="D41" s="20" t="n">
        <v>3500</v>
      </c>
      <c r="E41" s="20" t="n">
        <v>4200</v>
      </c>
      <c r="F41" s="20" t="n">
        <v>5000</v>
      </c>
    </row>
    <row r="42">
      <c r="A42" s="11" t="inlineStr">
        <is>
          <t xml:space="preserve">  COGS (services delivery)</t>
        </is>
      </c>
      <c r="B42" s="25" t="n">
        <v>-990</v>
      </c>
      <c r="C42" s="25" t="n">
        <v>-1350</v>
      </c>
      <c r="D42" s="25" t="n">
        <v>-1855</v>
      </c>
      <c r="E42" s="25" t="n">
        <v>-2184</v>
      </c>
      <c r="F42" s="25" t="n">
        <v>-2500</v>
      </c>
    </row>
    <row r="43">
      <c r="A43" s="5" t="inlineStr">
        <is>
          <t>GROSS PROFIT</t>
        </is>
      </c>
      <c r="B43" s="24" t="n">
        <v>810</v>
      </c>
      <c r="C43" s="24" t="n">
        <v>1150</v>
      </c>
      <c r="D43" s="24" t="n">
        <v>1645</v>
      </c>
      <c r="E43" s="24" t="n">
        <v>2016</v>
      </c>
      <c r="F43" s="24" t="n">
        <v>2500</v>
      </c>
    </row>
    <row r="44">
      <c r="A44" s="5" t="inlineStr">
        <is>
          <t>GROSS MARGIN %</t>
        </is>
      </c>
      <c r="B44" s="33" t="n">
        <v>0.45</v>
      </c>
      <c r="C44" s="33" t="n">
        <v>0.46</v>
      </c>
      <c r="D44" s="33" t="n">
        <v>0.47</v>
      </c>
      <c r="E44" s="33" t="n">
        <v>0.48</v>
      </c>
      <c r="F44" s="33" t="n">
        <v>0.5</v>
      </c>
    </row>
    <row r="45">
      <c r="A45" s="11" t="inlineStr">
        <is>
          <t xml:space="preserve">  OpEx (Sales + G&amp;A)</t>
        </is>
      </c>
      <c r="B45" s="25" t="n">
        <v>-540</v>
      </c>
      <c r="C45" s="25" t="n">
        <v>-700</v>
      </c>
      <c r="D45" s="25" t="n">
        <v>-910</v>
      </c>
      <c r="E45" s="25" t="n">
        <v>-1008</v>
      </c>
      <c r="F45" s="25" t="n">
        <v>-1100</v>
      </c>
    </row>
    <row r="46">
      <c r="A46" s="5" t="inlineStr">
        <is>
          <t>EBITDA</t>
        </is>
      </c>
      <c r="B46" s="24" t="n">
        <v>270</v>
      </c>
      <c r="C46" s="24" t="n">
        <v>450</v>
      </c>
      <c r="D46" s="24" t="n">
        <v>735</v>
      </c>
      <c r="E46" s="24" t="n">
        <v>1008</v>
      </c>
      <c r="F46" s="24" t="n">
        <v>1400</v>
      </c>
    </row>
    <row r="47">
      <c r="A47" s="5" t="inlineStr">
        <is>
          <t>EBITDA MARGIN %</t>
        </is>
      </c>
      <c r="B47" s="32" t="n">
        <v>0.15</v>
      </c>
      <c r="C47" s="32" t="n">
        <v>0.18</v>
      </c>
      <c r="D47" s="32" t="n">
        <v>0.21</v>
      </c>
      <c r="E47" s="32" t="n">
        <v>0.24</v>
      </c>
      <c r="F47" s="32" t="n">
        <v>0.28</v>
      </c>
    </row>
    <row r="48">
      <c r="A48" s="5" t="inlineStr">
        <is>
          <t>NET INCOME</t>
        </is>
      </c>
      <c r="B48" s="24" t="n">
        <v>230</v>
      </c>
      <c r="C48" s="24" t="n">
        <v>383</v>
      </c>
      <c r="D48" s="24" t="n">
        <v>625</v>
      </c>
      <c r="E48" s="24" t="n">
        <v>857</v>
      </c>
      <c r="F48" s="24" t="n">
        <v>1190</v>
      </c>
    </row>
    <row r="49">
      <c r="A49" s="5" t="inlineStr">
        <is>
          <t>NET MARGIN %</t>
        </is>
      </c>
      <c r="B49" s="32" t="n">
        <v>0.128</v>
      </c>
      <c r="C49" s="32" t="n">
        <v>0.153</v>
      </c>
      <c r="D49" s="32" t="n">
        <v>0.179</v>
      </c>
      <c r="E49" s="32" t="n">
        <v>0.204</v>
      </c>
      <c r="F49" s="32" t="n">
        <v>0.238</v>
      </c>
    </row>
    <row r="51">
      <c r="A51" s="39" t="inlineStr">
        <is>
          <t>PURE INFLUENCE — Creator Platform P&amp;L (MVP Mid-2026)</t>
        </is>
      </c>
    </row>
    <row r="52">
      <c r="A52" s="36" t="inlineStr">
        <is>
          <t>Platform model. 0 revenue Y1 (in development). Rapid margin expansion as platform scales.</t>
        </is>
      </c>
    </row>
    <row r="53">
      <c r="A53" s="4" t="inlineStr">
        <is>
          <t>METRIC</t>
        </is>
      </c>
      <c r="B53" s="4" t="inlineStr">
        <is>
          <t>Y1 2026</t>
        </is>
      </c>
      <c r="C53" s="4" t="inlineStr">
        <is>
          <t>Y2 2027</t>
        </is>
      </c>
      <c r="D53" s="4" t="inlineStr">
        <is>
          <t>Y3 2028</t>
        </is>
      </c>
      <c r="E53" s="4" t="inlineStr">
        <is>
          <t>Y4 2029</t>
        </is>
      </c>
      <c r="F53" s="4" t="inlineStr">
        <is>
          <t>Y5 2030</t>
        </is>
      </c>
    </row>
    <row r="54">
      <c r="A54" s="11" t="inlineStr">
        <is>
          <t>Revenue</t>
        </is>
      </c>
      <c r="B54" s="20" t="n">
        <v>0</v>
      </c>
      <c r="C54" s="20" t="n">
        <v>300</v>
      </c>
      <c r="D54" s="20" t="n">
        <v>1200</v>
      </c>
      <c r="E54" s="20" t="n">
        <v>3000</v>
      </c>
      <c r="F54" s="20" t="n">
        <v>6500</v>
      </c>
    </row>
    <row r="55">
      <c r="A55" s="11" t="inlineStr">
        <is>
          <t xml:space="preserve">  COGS (platform ops)</t>
        </is>
      </c>
      <c r="B55" s="25" t="n">
        <v>0</v>
      </c>
      <c r="C55" s="25" t="n">
        <v>-90</v>
      </c>
      <c r="D55" s="25" t="n">
        <v>-324</v>
      </c>
      <c r="E55" s="25" t="n">
        <v>-750</v>
      </c>
      <c r="F55" s="25" t="n">
        <v>-1430</v>
      </c>
    </row>
    <row r="56">
      <c r="A56" s="5" t="inlineStr">
        <is>
          <t>GROSS PROFIT</t>
        </is>
      </c>
      <c r="B56" s="24" t="n">
        <v>0</v>
      </c>
      <c r="C56" s="24" t="n">
        <v>210</v>
      </c>
      <c r="D56" s="24" t="n">
        <v>876</v>
      </c>
      <c r="E56" s="24" t="n">
        <v>2250</v>
      </c>
      <c r="F56" s="24" t="n">
        <v>5070</v>
      </c>
    </row>
    <row r="57">
      <c r="A57" s="5" t="inlineStr">
        <is>
          <t>GROSS MARGIN %</t>
        </is>
      </c>
      <c r="B57" s="32" t="n">
        <v>0</v>
      </c>
      <c r="C57" s="33" t="n">
        <v>0.7</v>
      </c>
      <c r="D57" s="33" t="n">
        <v>0.73</v>
      </c>
      <c r="E57" s="33" t="n">
        <v>0.75</v>
      </c>
      <c r="F57" s="33" t="n">
        <v>0.78</v>
      </c>
    </row>
    <row r="58">
      <c r="A58" s="11" t="inlineStr">
        <is>
          <t xml:space="preserve">  OpEx (Sales + G&amp;A)</t>
        </is>
      </c>
      <c r="B58" s="25" t="n">
        <v>0</v>
      </c>
      <c r="C58" s="25" t="n">
        <v>-180</v>
      </c>
      <c r="D58" s="25" t="n">
        <v>-600</v>
      </c>
      <c r="E58" s="25" t="n">
        <v>-1200</v>
      </c>
      <c r="F58" s="25" t="n">
        <v>-1950</v>
      </c>
    </row>
    <row r="59">
      <c r="A59" s="5" t="inlineStr">
        <is>
          <t>EBITDA</t>
        </is>
      </c>
      <c r="B59" s="24" t="n">
        <v>0</v>
      </c>
      <c r="C59" s="24" t="n">
        <v>30</v>
      </c>
      <c r="D59" s="24" t="n">
        <v>276</v>
      </c>
      <c r="E59" s="24" t="n">
        <v>1050</v>
      </c>
      <c r="F59" s="24" t="n">
        <v>3120</v>
      </c>
    </row>
    <row r="60">
      <c r="A60" s="5" t="inlineStr">
        <is>
          <t>EBITDA MARGIN %</t>
        </is>
      </c>
      <c r="B60" s="32" t="n">
        <v>0</v>
      </c>
      <c r="C60" s="32" t="n">
        <v>0.1</v>
      </c>
      <c r="D60" s="32" t="n">
        <v>0.23</v>
      </c>
      <c r="E60" s="33" t="n">
        <v>0.35</v>
      </c>
      <c r="F60" s="33" t="n">
        <v>0.48</v>
      </c>
    </row>
    <row r="61">
      <c r="A61" s="5" t="inlineStr">
        <is>
          <t>NET INCOME</t>
        </is>
      </c>
      <c r="B61" s="24" t="n">
        <v>0</v>
      </c>
      <c r="C61" s="24" t="n">
        <v>25</v>
      </c>
      <c r="D61" s="24" t="n">
        <v>235</v>
      </c>
      <c r="E61" s="24" t="n">
        <v>892</v>
      </c>
      <c r="F61" s="24" t="n">
        <v>2652</v>
      </c>
    </row>
    <row r="62">
      <c r="A62" s="5" t="inlineStr">
        <is>
          <t>NET MARGIN %</t>
        </is>
      </c>
      <c r="B62" s="32" t="n">
        <v>0</v>
      </c>
      <c r="C62" s="32" t="n">
        <v>0.083</v>
      </c>
      <c r="D62" s="32" t="n">
        <v>0.196</v>
      </c>
      <c r="E62" s="32" t="n">
        <v>0.297</v>
      </c>
      <c r="F62" s="33" t="n">
        <v>0.408</v>
      </c>
    </row>
  </sheetData>
  <mergeCells count="6">
    <mergeCell ref="A1:G1"/>
    <mergeCell ref="A22:G22"/>
    <mergeCell ref="A4:G4"/>
    <mergeCell ref="A38:G38"/>
    <mergeCell ref="A2:G2"/>
    <mergeCell ref="A51:G5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8" customHeight="1">
      <c r="A1" s="18" t="inlineStr">
        <is>
          <t>PURE TECHNOLOGY — CONSOLIDATED P&amp;L (ALL BUSINESS UNITS COMBINED)</t>
        </is>
      </c>
    </row>
    <row r="2">
      <c r="A2" s="40" t="inlineStr">
        <is>
          <t>Blended margin IMPROVES each year as high-margin PureBrain grows as % of mix</t>
        </is>
      </c>
    </row>
    <row r="4">
      <c r="A4" s="2" t="inlineStr">
        <is>
          <t>METRIC</t>
        </is>
      </c>
      <c r="B4" s="2" t="inlineStr">
        <is>
          <t>Y1 2026</t>
        </is>
      </c>
      <c r="C4" s="2" t="inlineStr">
        <is>
          <t>Y2 2027</t>
        </is>
      </c>
      <c r="D4" s="2" t="inlineStr">
        <is>
          <t>Y3 2028</t>
        </is>
      </c>
      <c r="E4" s="2" t="inlineStr">
        <is>
          <t>Y4 2029</t>
        </is>
      </c>
      <c r="F4" s="2" t="inlineStr">
        <is>
          <t>Y5 2030</t>
        </is>
      </c>
    </row>
    <row r="5">
      <c r="A5" s="41" t="inlineStr">
        <is>
          <t>── REVENUE ──</t>
        </is>
      </c>
    </row>
    <row r="6">
      <c r="A6" s="11" t="inlineStr">
        <is>
          <t>PureBrain Revenue</t>
        </is>
      </c>
      <c r="B6" s="20" t="n">
        <v>10151</v>
      </c>
      <c r="C6" s="20" t="n">
        <v>30019</v>
      </c>
      <c r="D6" s="20" t="n">
        <v>75124</v>
      </c>
      <c r="E6" s="20" t="n">
        <v>172309</v>
      </c>
      <c r="F6" s="20" t="n">
        <v>359524</v>
      </c>
    </row>
    <row r="7">
      <c r="A7" s="11" t="inlineStr">
        <is>
          <t>PT Core Revenue</t>
        </is>
      </c>
      <c r="B7" s="20" t="n">
        <v>269500</v>
      </c>
      <c r="C7" s="20" t="n">
        <v>508200</v>
      </c>
      <c r="D7" s="20" t="n">
        <v>559020</v>
      </c>
      <c r="E7" s="20" t="n">
        <v>614922</v>
      </c>
      <c r="F7" s="20" t="n">
        <v>676414</v>
      </c>
    </row>
    <row r="8">
      <c r="A8" s="11" t="inlineStr">
        <is>
          <t>PureMarketing Revenue</t>
        </is>
      </c>
      <c r="B8" s="20" t="n">
        <v>1800</v>
      </c>
      <c r="C8" s="20" t="n">
        <v>2500</v>
      </c>
      <c r="D8" s="20" t="n">
        <v>3500</v>
      </c>
      <c r="E8" s="20" t="n">
        <v>4200</v>
      </c>
      <c r="F8" s="20" t="n">
        <v>5000</v>
      </c>
    </row>
    <row r="9">
      <c r="A9" s="11" t="inlineStr">
        <is>
          <t>Pure Influence Revenue</t>
        </is>
      </c>
      <c r="B9" s="20" t="n">
        <v>0</v>
      </c>
      <c r="C9" s="20" t="n">
        <v>300</v>
      </c>
      <c r="D9" s="20" t="n">
        <v>1200</v>
      </c>
      <c r="E9" s="20" t="n">
        <v>3000</v>
      </c>
      <c r="F9" s="20" t="n">
        <v>6500</v>
      </c>
    </row>
    <row r="10">
      <c r="A10" s="5" t="inlineStr">
        <is>
          <t>TOTAL REVENUE</t>
        </is>
      </c>
      <c r="B10" s="42" t="n">
        <v>281451</v>
      </c>
      <c r="C10" s="42" t="n">
        <v>541019</v>
      </c>
      <c r="D10" s="42" t="n">
        <v>638844</v>
      </c>
      <c r="E10" s="42" t="n">
        <v>794431</v>
      </c>
      <c r="F10" s="42" t="n">
        <v>1047438</v>
      </c>
    </row>
    <row r="12">
      <c r="A12" s="41" t="inlineStr">
        <is>
          <t>── GROSS PROFIT ──</t>
        </is>
      </c>
    </row>
    <row r="13">
      <c r="A13" s="11" t="inlineStr">
        <is>
          <t>PureBrain Gross Profit</t>
        </is>
      </c>
      <c r="B13" s="20" t="n">
        <v>9663</v>
      </c>
      <c r="C13" s="20" t="n">
        <v>28886</v>
      </c>
      <c r="D13" s="20" t="n">
        <v>72941</v>
      </c>
      <c r="E13" s="20" t="n">
        <v>168287</v>
      </c>
      <c r="F13" s="20" t="n">
        <v>352856</v>
      </c>
    </row>
    <row r="14">
      <c r="A14" s="11" t="inlineStr">
        <is>
          <t>PT Core Gross Profit</t>
        </is>
      </c>
      <c r="B14" s="20" t="n">
        <v>148225</v>
      </c>
      <c r="C14" s="20" t="n">
        <v>284592</v>
      </c>
      <c r="D14" s="20" t="n">
        <v>318241</v>
      </c>
      <c r="E14" s="20" t="n">
        <v>356655</v>
      </c>
      <c r="F14" s="20" t="n">
        <v>398884</v>
      </c>
    </row>
    <row r="15">
      <c r="A15" s="11" t="inlineStr">
        <is>
          <t>PureMarketing Gross Profit</t>
        </is>
      </c>
      <c r="B15" s="20" t="n">
        <v>810</v>
      </c>
      <c r="C15" s="20" t="n">
        <v>1150</v>
      </c>
      <c r="D15" s="20" t="n">
        <v>1645</v>
      </c>
      <c r="E15" s="20" t="n">
        <v>2016</v>
      </c>
      <c r="F15" s="20" t="n">
        <v>2500</v>
      </c>
    </row>
    <row r="16">
      <c r="A16" s="11" t="inlineStr">
        <is>
          <t>Pure Influence Gross Profit</t>
        </is>
      </c>
      <c r="B16" s="20" t="n">
        <v>0</v>
      </c>
      <c r="C16" s="20" t="n">
        <v>210</v>
      </c>
      <c r="D16" s="20" t="n">
        <v>876</v>
      </c>
      <c r="E16" s="20" t="n">
        <v>2250</v>
      </c>
      <c r="F16" s="20" t="n">
        <v>5070</v>
      </c>
    </row>
    <row r="17">
      <c r="A17" s="5" t="inlineStr">
        <is>
          <t>TOTAL GROSS PROFIT</t>
        </is>
      </c>
      <c r="B17" s="42" t="n">
        <v>158698</v>
      </c>
      <c r="C17" s="42" t="n">
        <v>314838</v>
      </c>
      <c r="D17" s="42" t="n">
        <v>393703</v>
      </c>
      <c r="E17" s="42" t="n">
        <v>529208</v>
      </c>
      <c r="F17" s="42" t="n">
        <v>759310</v>
      </c>
    </row>
    <row r="18">
      <c r="A18" s="11" t="inlineStr">
        <is>
          <t>TOTAL GROSS MARGIN %</t>
        </is>
      </c>
      <c r="B18" s="43" t="n">
        <v>0.5639999999999999</v>
      </c>
      <c r="C18" s="43" t="n">
        <v>0.582</v>
      </c>
      <c r="D18" s="43" t="n">
        <v>0.616</v>
      </c>
      <c r="E18" s="43" t="n">
        <v>0.666</v>
      </c>
      <c r="F18" s="43" t="n">
        <v>0.725</v>
      </c>
    </row>
    <row r="20">
      <c r="A20" s="41" t="inlineStr">
        <is>
          <t>── OPERATING EXPENSES ──</t>
        </is>
      </c>
    </row>
    <row r="21">
      <c r="A21" s="11" t="inlineStr">
        <is>
          <t>PureBrain OpEx</t>
        </is>
      </c>
      <c r="B21" s="25" t="n">
        <v>-965</v>
      </c>
      <c r="C21" s="25" t="n">
        <v>-2704</v>
      </c>
      <c r="D21" s="25" t="n">
        <v>-6763</v>
      </c>
      <c r="E21" s="25" t="n">
        <v>-15507</v>
      </c>
      <c r="F21" s="25" t="n">
        <v>-32356</v>
      </c>
    </row>
    <row r="22">
      <c r="A22" s="11" t="inlineStr">
        <is>
          <t>PT Core OpEx</t>
        </is>
      </c>
      <c r="B22" s="25" t="n">
        <v>-53900</v>
      </c>
      <c r="C22" s="25" t="n">
        <v>-101640</v>
      </c>
      <c r="D22" s="25" t="n">
        <v>-111804</v>
      </c>
      <c r="E22" s="25" t="n">
        <v>-122984</v>
      </c>
      <c r="F22" s="25" t="n">
        <v>-135283</v>
      </c>
    </row>
    <row r="23">
      <c r="A23" s="11" t="inlineStr">
        <is>
          <t>PureMarketing OpEx</t>
        </is>
      </c>
      <c r="B23" s="25" t="n">
        <v>-540</v>
      </c>
      <c r="C23" s="25" t="n">
        <v>-700</v>
      </c>
      <c r="D23" s="25" t="n">
        <v>-910</v>
      </c>
      <c r="E23" s="25" t="n">
        <v>-1008</v>
      </c>
      <c r="F23" s="25" t="n">
        <v>-1100</v>
      </c>
    </row>
    <row r="24">
      <c r="A24" s="11" t="inlineStr">
        <is>
          <t>Pure Influence OpEx</t>
        </is>
      </c>
      <c r="B24" s="25" t="n">
        <v>0</v>
      </c>
      <c r="C24" s="25" t="n">
        <v>-180</v>
      </c>
      <c r="D24" s="25" t="n">
        <v>-600</v>
      </c>
      <c r="E24" s="25" t="n">
        <v>-1200</v>
      </c>
      <c r="F24" s="25" t="n">
        <v>-1950</v>
      </c>
    </row>
    <row r="25">
      <c r="A25" s="11" t="inlineStr">
        <is>
          <t>Corporate G&amp;A Overhead</t>
        </is>
      </c>
      <c r="B25" s="25" t="n">
        <v>-14073</v>
      </c>
      <c r="C25" s="25" t="n">
        <v>-21641</v>
      </c>
      <c r="D25" s="25" t="n">
        <v>-22360</v>
      </c>
      <c r="E25" s="25" t="n">
        <v>-23833</v>
      </c>
      <c r="F25" s="25" t="n">
        <v>-26186</v>
      </c>
    </row>
    <row r="26">
      <c r="A26" s="5" t="inlineStr">
        <is>
          <t>TOTAL OPEX</t>
        </is>
      </c>
      <c r="B26" s="44" t="n">
        <v>-69478</v>
      </c>
      <c r="C26" s="44" t="n">
        <v>-126865</v>
      </c>
      <c r="D26" s="44" t="n">
        <v>-142437</v>
      </c>
      <c r="E26" s="44" t="n">
        <v>-164532</v>
      </c>
      <c r="F26" s="44" t="n">
        <v>-196875</v>
      </c>
    </row>
    <row r="28">
      <c r="A28" s="41" t="inlineStr">
        <is>
          <t>── EBITDA ──</t>
        </is>
      </c>
    </row>
    <row r="29">
      <c r="A29" s="5" t="inlineStr">
        <is>
          <t>TOTAL EBITDA</t>
        </is>
      </c>
      <c r="B29" s="42" t="n">
        <v>89220</v>
      </c>
      <c r="C29" s="42" t="n">
        <v>187973</v>
      </c>
      <c r="D29" s="42" t="n">
        <v>251266</v>
      </c>
      <c r="E29" s="42" t="n">
        <v>364676</v>
      </c>
      <c r="F29" s="42" t="n">
        <v>562435</v>
      </c>
    </row>
    <row r="30">
      <c r="A30" s="5" t="inlineStr">
        <is>
          <t>TOTAL EBITDA MARGIN %</t>
        </is>
      </c>
      <c r="B30" s="45" t="n">
        <v>0.317</v>
      </c>
      <c r="C30" s="45" t="n">
        <v>0.347</v>
      </c>
      <c r="D30" s="45" t="n">
        <v>0.393</v>
      </c>
      <c r="E30" s="45" t="n">
        <v>0.459</v>
      </c>
      <c r="F30" s="45" t="n">
        <v>0.537</v>
      </c>
    </row>
    <row r="32">
      <c r="A32" s="41" t="inlineStr">
        <is>
          <t>── D&amp;A ──</t>
        </is>
      </c>
    </row>
    <row r="33">
      <c r="A33" s="11" t="inlineStr">
        <is>
          <t>Total D&amp;A</t>
        </is>
      </c>
      <c r="B33" s="25" t="n">
        <v>-2815</v>
      </c>
      <c r="C33" s="25" t="n">
        <v>-5410</v>
      </c>
      <c r="D33" s="25" t="n">
        <v>-6388</v>
      </c>
      <c r="E33" s="25" t="n">
        <v>-7944</v>
      </c>
      <c r="F33" s="25" t="n">
        <v>-10474</v>
      </c>
    </row>
    <row r="35">
      <c r="A35" s="41" t="inlineStr">
        <is>
          <t>── NET INCOME ──</t>
        </is>
      </c>
    </row>
    <row r="36">
      <c r="A36" s="5" t="inlineStr">
        <is>
          <t>TOTAL NET INCOME</t>
        </is>
      </c>
      <c r="B36" s="42" t="n">
        <v>86405</v>
      </c>
      <c r="C36" s="42" t="n">
        <v>182563</v>
      </c>
      <c r="D36" s="42" t="n">
        <v>244878</v>
      </c>
      <c r="E36" s="42" t="n">
        <v>356732</v>
      </c>
      <c r="F36" s="42" t="n">
        <v>551961</v>
      </c>
    </row>
    <row r="37">
      <c r="A37" s="5" t="inlineStr">
        <is>
          <t>TOTAL NET MARGIN %</t>
        </is>
      </c>
      <c r="B37" s="45" t="n">
        <v>0.307</v>
      </c>
      <c r="C37" s="45" t="n">
        <v>0.337</v>
      </c>
      <c r="D37" s="45" t="n">
        <v>0.384</v>
      </c>
      <c r="E37" s="45" t="n">
        <v>0.449</v>
      </c>
      <c r="F37" s="45" t="n">
        <v>0.527</v>
      </c>
    </row>
    <row r="39">
      <c r="A39" s="41" t="inlineStr">
        <is>
          <t>── MIX ANALYSIS ──</t>
        </is>
      </c>
    </row>
    <row r="40">
      <c r="A40" s="11" t="inlineStr">
        <is>
          <t>PureBrain % of Total Revenue</t>
        </is>
      </c>
      <c r="B40" s="46" t="n">
        <v>0.036</v>
      </c>
      <c r="C40" s="46" t="n">
        <v>0.056</v>
      </c>
      <c r="D40" s="46" t="n">
        <v>0.118</v>
      </c>
      <c r="E40" s="46" t="n">
        <v>0.217</v>
      </c>
      <c r="F40" s="43" t="n">
        <v>0.343</v>
      </c>
    </row>
    <row r="41">
      <c r="A41" s="11" t="inlineStr">
        <is>
          <t>PT Core % of Total Revenue</t>
        </is>
      </c>
      <c r="B41" s="43" t="n">
        <v>0.958</v>
      </c>
      <c r="C41" s="43" t="n">
        <v>0.9389999999999999</v>
      </c>
      <c r="D41" s="43" t="n">
        <v>0.875</v>
      </c>
      <c r="E41" s="43" t="n">
        <v>0.774</v>
      </c>
      <c r="F41" s="43" t="n">
        <v>0.646</v>
      </c>
    </row>
    <row r="42">
      <c r="A42" s="11" t="inlineStr">
        <is>
          <t>Blended GM (weighted avg)</t>
        </is>
      </c>
      <c r="B42" s="43" t="n">
        <v>0.5639999999999999</v>
      </c>
      <c r="C42" s="43" t="n">
        <v>0.582</v>
      </c>
      <c r="D42" s="43" t="n">
        <v>0.616</v>
      </c>
      <c r="E42" s="43" t="n">
        <v>0.666</v>
      </c>
      <c r="F42" s="43" t="n">
        <v>0.725</v>
      </c>
    </row>
    <row r="44">
      <c r="A44" s="47" t="inlineStr">
        <is>
          <t>V1 vs V2 MARGIN CORRECTION</t>
        </is>
      </c>
    </row>
    <row r="45">
      <c r="A45" s="48" t="inlineStr">
        <is>
          <t>Metric</t>
        </is>
      </c>
      <c r="B45" s="48" t="inlineStr">
        <is>
          <t>V1 (WRONG)</t>
        </is>
      </c>
      <c r="C45" s="48" t="inlineStr">
        <is>
          <t>V2 (CORRECTED)</t>
        </is>
      </c>
      <c r="D45" s="49" t="inlineStr">
        <is>
          <t>Why Fixed</t>
        </is>
      </c>
    </row>
    <row r="46">
      <c r="A46" s="50" t="inlineStr">
        <is>
          <t>PT Core NET Margin</t>
        </is>
      </c>
      <c r="B46" s="51" t="inlineStr">
        <is>
          <t>~5-7%</t>
        </is>
      </c>
      <c r="C46" s="52" t="inlineStr">
        <is>
          <t>30-40%</t>
        </is>
      </c>
      <c r="D46" s="53" t="inlineStr">
        <is>
          <t>V1 used hardware COGS model — PT is mixed tech biz</t>
        </is>
      </c>
    </row>
    <row r="47">
      <c r="A47" s="54" t="inlineStr">
        <is>
          <t>PureBrain GM</t>
        </is>
      </c>
      <c r="B47" s="55" t="inlineStr">
        <is>
          <t>Not shown separately</t>
        </is>
      </c>
      <c r="C47" s="56" t="inlineStr">
        <is>
          <t>97%</t>
        </is>
      </c>
      <c r="D47" s="57" t="inlineStr">
        <is>
          <t>V2 shows each BU separately</t>
        </is>
      </c>
    </row>
    <row r="48">
      <c r="A48" s="50" t="inlineStr">
        <is>
          <t>Blended EBITDA</t>
        </is>
      </c>
      <c r="B48" s="51" t="inlineStr">
        <is>
          <t>1-7%</t>
        </is>
      </c>
      <c r="C48" s="52" t="inlineStr">
        <is>
          <t>32-54%</t>
        </is>
      </c>
      <c r="D48" s="53" t="inlineStr">
        <is>
          <t>PureBrain's near-100% GM lifts blended margin</t>
        </is>
      </c>
    </row>
    <row r="49">
      <c r="A49" s="54" t="inlineStr">
        <is>
          <t>PureBrain COGS</t>
        </is>
      </c>
      <c r="B49" s="55" t="inlineStr">
        <is>
          <t>Overstated</t>
        </is>
      </c>
      <c r="C49" s="56" t="inlineStr">
        <is>
          <t>$14/customer/mo</t>
        </is>
      </c>
      <c r="D49" s="57" t="inlineStr">
        <is>
          <t>Actual Claude API + infra cost</t>
        </is>
      </c>
    </row>
  </sheetData>
  <mergeCells count="10">
    <mergeCell ref="A32:G32"/>
    <mergeCell ref="A44:G44"/>
    <mergeCell ref="A1:G1"/>
    <mergeCell ref="A39:G39"/>
    <mergeCell ref="A12:G12"/>
    <mergeCell ref="A35:G35"/>
    <mergeCell ref="A20:G20"/>
    <mergeCell ref="A2:G2"/>
    <mergeCell ref="A28:G28"/>
    <mergeCell ref="A5:G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8" customHeight="1">
      <c r="A1" s="18" t="inlineStr">
        <is>
          <t>PURE TECHNOLOGY — CASH FLOW STATEMENT (5-YEAR)</t>
        </is>
      </c>
    </row>
    <row r="3">
      <c r="A3" s="2" t="inlineStr">
        <is>
          <t>METRIC</t>
        </is>
      </c>
      <c r="B3" s="2" t="inlineStr">
        <is>
          <t>Y1 2026</t>
        </is>
      </c>
      <c r="C3" s="2" t="inlineStr">
        <is>
          <t>Y2 2027</t>
        </is>
      </c>
      <c r="D3" s="2" t="inlineStr">
        <is>
          <t>Y3 2028</t>
        </is>
      </c>
      <c r="E3" s="2" t="inlineStr">
        <is>
          <t>Y4 2029</t>
        </is>
      </c>
      <c r="F3" s="2" t="inlineStr">
        <is>
          <t>Y5 2030</t>
        </is>
      </c>
    </row>
    <row r="4">
      <c r="A4" s="48" t="inlineStr">
        <is>
          <t>OPERATING ACTIVITIES</t>
        </is>
      </c>
    </row>
    <row r="5">
      <c r="A5" s="11" t="inlineStr">
        <is>
          <t>Net Income</t>
        </is>
      </c>
      <c r="B5" s="20" t="n">
        <v>86405</v>
      </c>
      <c r="C5" s="20" t="n">
        <v>182563</v>
      </c>
      <c r="D5" s="20" t="n">
        <v>244878</v>
      </c>
      <c r="E5" s="20" t="n">
        <v>356732</v>
      </c>
      <c r="F5" s="20" t="n">
        <v>551961</v>
      </c>
    </row>
    <row r="6">
      <c r="A6" s="11" t="inlineStr">
        <is>
          <t>Add: D&amp;A</t>
        </is>
      </c>
      <c r="B6" s="20" t="n">
        <v>2815</v>
      </c>
      <c r="C6" s="20" t="n">
        <v>5410</v>
      </c>
      <c r="D6" s="20" t="n">
        <v>6388</v>
      </c>
      <c r="E6" s="20" t="n">
        <v>7944</v>
      </c>
      <c r="F6" s="20" t="n">
        <v>10474</v>
      </c>
    </row>
    <row r="7">
      <c r="A7" s="11" t="inlineStr">
        <is>
          <t>Working Capital Changes</t>
        </is>
      </c>
      <c r="B7" s="25" t="n">
        <v>-5608</v>
      </c>
      <c r="C7" s="25" t="n">
        <v>-9131</v>
      </c>
      <c r="D7" s="25" t="n">
        <v>-4891</v>
      </c>
      <c r="E7" s="25" t="n">
        <v>-7822</v>
      </c>
      <c r="F7" s="25" t="n">
        <v>-12636</v>
      </c>
    </row>
    <row r="8">
      <c r="A8" s="5" t="inlineStr">
        <is>
          <t>OPERATING CASH FLOW</t>
        </is>
      </c>
      <c r="B8" s="24" t="n">
        <v>83612</v>
      </c>
      <c r="C8" s="24" t="n">
        <v>178842</v>
      </c>
      <c r="D8" s="24" t="n">
        <v>246375</v>
      </c>
      <c r="E8" s="24" t="n">
        <v>356854</v>
      </c>
      <c r="F8" s="24" t="n">
        <v>549799</v>
      </c>
    </row>
    <row r="10">
      <c r="A10" s="48" t="inlineStr">
        <is>
          <t>INVESTING ACTIVITIES</t>
        </is>
      </c>
    </row>
    <row r="11">
      <c r="A11" s="11" t="inlineStr">
        <is>
          <t>CapEx (tech + equipment)</t>
        </is>
      </c>
      <c r="B11" s="25" t="n">
        <v>-2815</v>
      </c>
      <c r="C11" s="25" t="n">
        <v>-5410</v>
      </c>
      <c r="D11" s="25" t="n">
        <v>-6388</v>
      </c>
      <c r="E11" s="25" t="n">
        <v>-7944</v>
      </c>
      <c r="F11" s="25" t="n">
        <v>-10474</v>
      </c>
    </row>
    <row r="12">
      <c r="A12" s="11" t="inlineStr">
        <is>
          <t>Software Development</t>
        </is>
      </c>
      <c r="B12" s="25" t="n">
        <v>-1407</v>
      </c>
      <c r="C12" s="25" t="n">
        <v>-2705</v>
      </c>
      <c r="D12" s="25" t="n">
        <v>-3194</v>
      </c>
      <c r="E12" s="25" t="n">
        <v>-3972</v>
      </c>
      <c r="F12" s="25" t="n">
        <v>-5237</v>
      </c>
    </row>
    <row r="13">
      <c r="A13" s="5" t="inlineStr">
        <is>
          <t>INVESTING CASH FLOW</t>
        </is>
      </c>
      <c r="B13" s="44" t="n">
        <v>-4222</v>
      </c>
      <c r="C13" s="44" t="n">
        <v>-8115</v>
      </c>
      <c r="D13" s="44" t="n">
        <v>-9582</v>
      </c>
      <c r="E13" s="44" t="n">
        <v>-11916</v>
      </c>
      <c r="F13" s="44" t="n">
        <v>-15711</v>
      </c>
    </row>
    <row r="15">
      <c r="A15" s="48" t="inlineStr">
        <is>
          <t>FINANCING ACTIVITIES</t>
        </is>
      </c>
    </row>
    <row r="16">
      <c r="A16" s="11" t="inlineStr">
        <is>
          <t>Seed Round Proceeds</t>
        </is>
      </c>
      <c r="B16" s="20" t="n">
        <v>10000</v>
      </c>
      <c r="C16" s="20" t="n">
        <v>0</v>
      </c>
      <c r="D16" s="20" t="n">
        <v>0</v>
      </c>
      <c r="E16" s="20" t="n">
        <v>0</v>
      </c>
      <c r="F16" s="20" t="n">
        <v>0</v>
      </c>
    </row>
    <row r="17">
      <c r="A17" s="11" t="inlineStr">
        <is>
          <t>Series A Proceeds</t>
        </is>
      </c>
      <c r="B17" s="20" t="n">
        <v>0</v>
      </c>
      <c r="C17" s="20" t="n">
        <v>50000</v>
      </c>
      <c r="D17" s="20" t="n">
        <v>0</v>
      </c>
      <c r="E17" s="20" t="n">
        <v>0</v>
      </c>
      <c r="F17" s="20" t="n">
        <v>0</v>
      </c>
    </row>
    <row r="18">
      <c r="A18" s="11" t="inlineStr">
        <is>
          <t>Loan Repayments</t>
        </is>
      </c>
      <c r="B18" s="25" t="n">
        <v>0</v>
      </c>
      <c r="C18" s="25" t="n">
        <v>0</v>
      </c>
      <c r="D18" s="25" t="n">
        <v>0</v>
      </c>
      <c r="E18" s="25" t="n">
        <v>0</v>
      </c>
      <c r="F18" s="25" t="n">
        <v>0</v>
      </c>
    </row>
    <row r="19">
      <c r="A19" s="5" t="inlineStr">
        <is>
          <t>FINANCING CASH FLOW</t>
        </is>
      </c>
      <c r="B19" s="24" t="n">
        <v>10000</v>
      </c>
      <c r="C19" s="24" t="n">
        <v>50000</v>
      </c>
      <c r="D19" s="24" t="n">
        <v>0</v>
      </c>
      <c r="E19" s="24" t="n">
        <v>0</v>
      </c>
      <c r="F19" s="24" t="n">
        <v>0</v>
      </c>
    </row>
    <row r="21">
      <c r="A21" s="5" t="inlineStr">
        <is>
          <t>NET CHANGE IN CASH</t>
        </is>
      </c>
      <c r="B21" s="24" t="n">
        <v>89390</v>
      </c>
      <c r="C21" s="24" t="n">
        <v>220727</v>
      </c>
      <c r="D21" s="24" t="n">
        <v>236793</v>
      </c>
      <c r="E21" s="24" t="n">
        <v>344938</v>
      </c>
      <c r="F21" s="24" t="n">
        <v>534088</v>
      </c>
    </row>
    <row r="22">
      <c r="A22" s="11" t="inlineStr">
        <is>
          <t>Beginning Cash Balance</t>
        </is>
      </c>
      <c r="B22" s="20" t="n">
        <v>5000</v>
      </c>
      <c r="C22" s="20" t="n">
        <v>94390</v>
      </c>
      <c r="D22" s="20" t="n">
        <v>315117</v>
      </c>
      <c r="E22" s="20" t="n">
        <v>551910</v>
      </c>
      <c r="F22" s="20" t="n">
        <v>896848</v>
      </c>
    </row>
    <row r="23">
      <c r="A23" s="5" t="inlineStr">
        <is>
          <t>ENDING CASH BALANCE</t>
        </is>
      </c>
      <c r="B23" s="42" t="n">
        <v>94390</v>
      </c>
      <c r="C23" s="42" t="n">
        <v>315117</v>
      </c>
      <c r="D23" s="42" t="n">
        <v>551910</v>
      </c>
      <c r="E23" s="42" t="n">
        <v>896848</v>
      </c>
      <c r="F23" s="42" t="n">
        <v>1430936</v>
      </c>
    </row>
    <row r="25">
      <c r="A25" s="48" t="inlineStr">
        <is>
          <t>FREE CASH FLOW SUMMARY</t>
        </is>
      </c>
    </row>
    <row r="26">
      <c r="A26" s="11" t="inlineStr">
        <is>
          <t>Operating Cash Flow</t>
        </is>
      </c>
      <c r="B26" s="20" t="n">
        <v>83612</v>
      </c>
      <c r="C26" s="20" t="n">
        <v>178842</v>
      </c>
      <c r="D26" s="20" t="n">
        <v>246375</v>
      </c>
      <c r="E26" s="20" t="n">
        <v>356854</v>
      </c>
      <c r="F26" s="20" t="n">
        <v>549799</v>
      </c>
    </row>
    <row r="27">
      <c r="A27" s="11" t="inlineStr">
        <is>
          <t>Less: CapEx</t>
        </is>
      </c>
      <c r="B27" s="25" t="n">
        <v>-2815</v>
      </c>
      <c r="C27" s="25" t="n">
        <v>-5410</v>
      </c>
      <c r="D27" s="25" t="n">
        <v>-6388</v>
      </c>
      <c r="E27" s="25" t="n">
        <v>-7944</v>
      </c>
      <c r="F27" s="25" t="n">
        <v>-10474</v>
      </c>
    </row>
    <row r="28">
      <c r="A28" s="5" t="inlineStr">
        <is>
          <t>FREE CASH FLOW</t>
        </is>
      </c>
      <c r="B28" s="42" t="n">
        <v>80797</v>
      </c>
      <c r="C28" s="42" t="n">
        <v>173432</v>
      </c>
      <c r="D28" s="42" t="n">
        <v>239987</v>
      </c>
      <c r="E28" s="42" t="n">
        <v>348910</v>
      </c>
      <c r="F28" s="42" t="n">
        <v>539325</v>
      </c>
    </row>
    <row r="29">
      <c r="A29" s="11" t="inlineStr">
        <is>
          <t>FCF Margin %</t>
        </is>
      </c>
      <c r="B29" s="43" t="n">
        <v>0.287</v>
      </c>
      <c r="C29" s="43" t="n">
        <v>0.321</v>
      </c>
      <c r="D29" s="43" t="n">
        <v>0.376</v>
      </c>
      <c r="E29" s="43" t="n">
        <v>0.439</v>
      </c>
      <c r="F29" s="43" t="n">
        <v>0.515</v>
      </c>
    </row>
    <row r="30">
      <c r="A30" s="5" t="inlineStr">
        <is>
          <t>Cumulative FCF</t>
        </is>
      </c>
      <c r="B30" s="58" t="n">
        <v>80797</v>
      </c>
      <c r="C30" s="58" t="n">
        <v>254229</v>
      </c>
      <c r="D30" s="58" t="n">
        <v>494216</v>
      </c>
      <c r="E30" s="58" t="n">
        <v>843126</v>
      </c>
      <c r="F30" s="58" t="n">
        <v>1382451</v>
      </c>
    </row>
  </sheetData>
  <mergeCells count="5">
    <mergeCell ref="A1:G1"/>
    <mergeCell ref="A4:G4"/>
    <mergeCell ref="A15:G15"/>
    <mergeCell ref="A25:G25"/>
    <mergeCell ref="A10:G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18" t="inlineStr">
        <is>
          <t>PURE TECHNOLOGY — HEADCOUNT PLAN (100-Person Cap with AI Replacement)</t>
        </is>
      </c>
    </row>
    <row r="3">
      <c r="A3" s="2" t="inlineStr">
        <is>
          <t>DEPARTMENT / METRIC</t>
        </is>
      </c>
      <c r="B3" s="2" t="inlineStr">
        <is>
          <t>Y1 2026</t>
        </is>
      </c>
      <c r="C3" s="2" t="inlineStr">
        <is>
          <t>Y2 2027</t>
        </is>
      </c>
      <c r="D3" s="2" t="inlineStr">
        <is>
          <t>Y3 2028</t>
        </is>
      </c>
      <c r="E3" s="2" t="inlineStr">
        <is>
          <t>Y4 2029</t>
        </is>
      </c>
      <c r="F3" s="2" t="inlineStr">
        <is>
          <t>Y5 2030</t>
        </is>
      </c>
    </row>
    <row r="4">
      <c r="A4" s="48" t="inlineStr">
        <is>
          <t>HEADCOUNT BY DEPARTMENT</t>
        </is>
      </c>
    </row>
    <row r="5">
      <c r="A5" s="11" t="inlineStr">
        <is>
          <t>PureBrain Team</t>
        </is>
      </c>
      <c r="B5" s="20" t="n">
        <v>5</v>
      </c>
      <c r="C5" s="20" t="n">
        <v>8</v>
      </c>
      <c r="D5" s="20" t="n">
        <v>12</v>
      </c>
      <c r="E5" s="20" t="n">
        <v>18</v>
      </c>
      <c r="F5" s="20" t="n">
        <v>25</v>
      </c>
    </row>
    <row r="6">
      <c r="A6" s="11" t="inlineStr">
        <is>
          <t>PT Core Team</t>
        </is>
      </c>
      <c r="B6" s="20" t="n">
        <v>8</v>
      </c>
      <c r="C6" s="20" t="n">
        <v>12</v>
      </c>
      <c r="D6" s="20" t="n">
        <v>18</v>
      </c>
      <c r="E6" s="20" t="n">
        <v>24</v>
      </c>
      <c r="F6" s="20" t="n">
        <v>30</v>
      </c>
    </row>
    <row r="7">
      <c r="A7" s="11" t="inlineStr">
        <is>
          <t>PureMarketing Team</t>
        </is>
      </c>
      <c r="B7" s="20" t="n">
        <v>5</v>
      </c>
      <c r="C7" s="20" t="n">
        <v>8</v>
      </c>
      <c r="D7" s="20" t="n">
        <v>12</v>
      </c>
      <c r="E7" s="20" t="n">
        <v>16</v>
      </c>
      <c r="F7" s="20" t="n">
        <v>20</v>
      </c>
    </row>
    <row r="8">
      <c r="A8" s="11" t="inlineStr">
        <is>
          <t>Pure Influence Team</t>
        </is>
      </c>
      <c r="B8" s="20" t="n">
        <v>0</v>
      </c>
      <c r="C8" s="20" t="n">
        <v>2</v>
      </c>
      <c r="D8" s="20" t="n">
        <v>6</v>
      </c>
      <c r="E8" s="20" t="n">
        <v>10</v>
      </c>
      <c r="F8" s="20" t="n">
        <v>15</v>
      </c>
    </row>
    <row r="9">
      <c r="A9" s="11" t="inlineStr">
        <is>
          <t>Corporate / G&amp;A</t>
        </is>
      </c>
      <c r="B9" s="20" t="n">
        <v>7</v>
      </c>
      <c r="C9" s="20" t="n">
        <v>10</v>
      </c>
      <c r="D9" s="20" t="n">
        <v>12</v>
      </c>
      <c r="E9" s="20" t="n">
        <v>12</v>
      </c>
      <c r="F9" s="20" t="n">
        <v>10</v>
      </c>
    </row>
    <row r="10">
      <c r="A10" s="5" t="inlineStr">
        <is>
          <t>TOTAL HEADCOUNT</t>
        </is>
      </c>
      <c r="B10" s="24" t="n">
        <v>25</v>
      </c>
      <c r="C10" s="24" t="n">
        <v>40</v>
      </c>
      <c r="D10" s="24" t="n">
        <v>60</v>
      </c>
      <c r="E10" s="24" t="n">
        <v>80</v>
      </c>
      <c r="F10" s="24" t="n">
        <v>100</v>
      </c>
    </row>
    <row r="11">
      <c r="A11" s="5" t="inlineStr">
        <is>
          <t>Headcount Cap</t>
        </is>
      </c>
      <c r="B11" s="58" t="n">
        <v>100</v>
      </c>
      <c r="C11" s="58" t="n">
        <v>100</v>
      </c>
      <c r="D11" s="58" t="n">
        <v>100</v>
      </c>
      <c r="E11" s="58" t="n">
        <v>100</v>
      </c>
      <c r="F11" s="58" t="n">
        <v>100</v>
      </c>
    </row>
    <row r="13">
      <c r="A13" s="48" t="inlineStr">
        <is>
          <t>PEOPLE COST ANALYSIS</t>
        </is>
      </c>
    </row>
    <row r="14">
      <c r="A14" s="11" t="inlineStr">
        <is>
          <t>Avg Fully-Loaded Cost/Person</t>
        </is>
      </c>
      <c r="B14" s="20" t="n">
        <v>100000</v>
      </c>
      <c r="C14" s="20" t="n">
        <v>110000</v>
      </c>
      <c r="D14" s="20" t="n">
        <v>120000</v>
      </c>
      <c r="E14" s="20" t="n">
        <v>130000</v>
      </c>
      <c r="F14" s="20" t="n">
        <v>140000</v>
      </c>
    </row>
    <row r="15">
      <c r="A15" s="5" t="inlineStr">
        <is>
          <t>Total People Cost ($000s)</t>
        </is>
      </c>
      <c r="B15" s="24" t="n">
        <v>2500</v>
      </c>
      <c r="C15" s="24" t="n">
        <v>4400</v>
      </c>
      <c r="D15" s="24" t="n">
        <v>7200</v>
      </c>
      <c r="E15" s="24" t="n">
        <v>10400</v>
      </c>
      <c r="F15" s="24" t="n">
        <v>14000</v>
      </c>
    </row>
    <row r="17">
      <c r="A17" s="48" t="inlineStr">
        <is>
          <t>PRODUCTIVITY METRICS</t>
        </is>
      </c>
    </row>
    <row r="18">
      <c r="A18" s="5" t="inlineStr">
        <is>
          <t>Total Company Revenue ($000s)</t>
        </is>
      </c>
      <c r="B18" s="58" t="n">
        <v>281451</v>
      </c>
      <c r="C18" s="58" t="n">
        <v>541019</v>
      </c>
      <c r="D18" s="58" t="n">
        <v>638844</v>
      </c>
      <c r="E18" s="58" t="n">
        <v>794431</v>
      </c>
      <c r="F18" s="58" t="n">
        <v>1047438</v>
      </c>
    </row>
    <row r="19">
      <c r="A19" s="11" t="inlineStr">
        <is>
          <t>Revenue per Employee ($000s)</t>
        </is>
      </c>
      <c r="B19" s="20" t="n">
        <v>11258</v>
      </c>
      <c r="C19" s="20" t="n">
        <v>13525</v>
      </c>
      <c r="D19" s="20" t="n">
        <v>10647</v>
      </c>
      <c r="E19" s="20" t="n">
        <v>9930</v>
      </c>
      <c r="F19" s="20" t="n">
        <v>10474</v>
      </c>
    </row>
    <row r="20">
      <c r="A20" s="11" t="inlineStr">
        <is>
          <t>ARR per Employee (PB only)</t>
        </is>
      </c>
      <c r="B20" s="20" t="n">
        <v>2030</v>
      </c>
      <c r="C20" s="20" t="n">
        <v>3754</v>
      </c>
      <c r="D20" s="20" t="n">
        <v>6260</v>
      </c>
      <c r="E20" s="20" t="n">
        <v>9573</v>
      </c>
      <c r="F20" s="20" t="n">
        <v>14381</v>
      </c>
    </row>
    <row r="21">
      <c r="A21" s="11" t="inlineStr">
        <is>
          <t>People Cost % of Revenue</t>
        </is>
      </c>
      <c r="B21" s="43" t="n">
        <v>0.008999999999999999</v>
      </c>
      <c r="C21" s="43" t="n">
        <v>0.008</v>
      </c>
      <c r="D21" s="43" t="n">
        <v>0.011</v>
      </c>
      <c r="E21" s="43" t="n">
        <v>0.013</v>
      </c>
      <c r="F21" s="43" t="n">
        <v>0.013</v>
      </c>
    </row>
    <row r="23">
      <c r="A23" s="48" t="inlineStr">
        <is>
          <t>AI REPLACEMENT TIMELINE</t>
        </is>
      </c>
    </row>
    <row r="24">
      <c r="A24" s="11" t="inlineStr">
        <is>
          <t>Tasks Automated by AI (%)</t>
        </is>
      </c>
      <c r="B24" s="43" t="n">
        <v>0.4</v>
      </c>
      <c r="C24" s="43" t="n">
        <v>0.55</v>
      </c>
      <c r="D24" s="43" t="n">
        <v>0.7</v>
      </c>
      <c r="E24" s="43" t="n">
        <v>0.8</v>
      </c>
      <c r="F24" s="43" t="n">
        <v>0.85</v>
      </c>
    </row>
    <row r="25">
      <c r="A25" s="11" t="inlineStr">
        <is>
          <t>AI-Equivalent Headcount</t>
        </is>
      </c>
      <c r="B25" s="20" t="n">
        <v>17</v>
      </c>
      <c r="C25" s="20" t="n">
        <v>49</v>
      </c>
      <c r="D25" s="20" t="n">
        <v>140</v>
      </c>
      <c r="E25" s="20" t="n">
        <v>320</v>
      </c>
      <c r="F25" s="20" t="n">
        <v>567</v>
      </c>
    </row>
    <row r="26">
      <c r="A26" s="11" t="inlineStr">
        <is>
          <t>Human Headcount</t>
        </is>
      </c>
      <c r="B26" s="20" t="n">
        <v>25</v>
      </c>
      <c r="C26" s="20" t="n">
        <v>40</v>
      </c>
      <c r="D26" s="20" t="n">
        <v>60</v>
      </c>
      <c r="E26" s="20" t="n">
        <v>80</v>
      </c>
      <c r="F26" s="20" t="n">
        <v>100</v>
      </c>
    </row>
    <row r="27">
      <c r="A27" s="5" t="inlineStr">
        <is>
          <t>Total Equivalent Workforce</t>
        </is>
      </c>
      <c r="B27" s="58" t="n">
        <v>42</v>
      </c>
      <c r="C27" s="58" t="n">
        <v>89</v>
      </c>
      <c r="D27" s="58" t="n">
        <v>200</v>
      </c>
      <c r="E27" s="58" t="n">
        <v>400</v>
      </c>
      <c r="F27" s="58" t="n">
        <v>667</v>
      </c>
    </row>
    <row r="28">
      <c r="A28" s="11" t="inlineStr">
        <is>
          <t>Workforce Leverage Ratio</t>
        </is>
      </c>
      <c r="B28" s="20" t="n">
        <v>1.7</v>
      </c>
      <c r="C28" s="20" t="n">
        <v>2.2</v>
      </c>
      <c r="D28" s="20" t="n">
        <v>3.3</v>
      </c>
      <c r="E28" s="20" t="n">
        <v>5</v>
      </c>
      <c r="F28" s="20" t="n">
        <v>6.7</v>
      </c>
    </row>
  </sheetData>
  <mergeCells count="5">
    <mergeCell ref="A13:G13"/>
    <mergeCell ref="A1:G1"/>
    <mergeCell ref="A17:G17"/>
    <mergeCell ref="A4:G4"/>
    <mergeCell ref="A23:G2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8" customHeight="1">
      <c r="A1" s="18" t="inlineStr">
        <is>
          <t>PUREBRAIN.AI — SaaS METRICS DASHBOARD</t>
        </is>
      </c>
    </row>
    <row r="3">
      <c r="A3" s="4" t="inlineStr">
        <is>
          <t>METRIC</t>
        </is>
      </c>
      <c r="B3" s="4" t="inlineStr">
        <is>
          <t>Y1 2026</t>
        </is>
      </c>
      <c r="C3" s="4" t="inlineStr">
        <is>
          <t>Y2 2027</t>
        </is>
      </c>
      <c r="D3" s="4" t="inlineStr">
        <is>
          <t>Y3 2028</t>
        </is>
      </c>
      <c r="E3" s="4" t="inlineStr">
        <is>
          <t>Y4 2029</t>
        </is>
      </c>
      <c r="F3" s="4" t="inlineStr">
        <is>
          <t>Y5 2030</t>
        </is>
      </c>
    </row>
    <row r="4">
      <c r="A4" s="48" t="inlineStr">
        <is>
          <t>GROWTH METRICS</t>
        </is>
      </c>
    </row>
    <row r="5">
      <c r="A5" s="11" t="inlineStr">
        <is>
          <t>Year-End Customers</t>
        </is>
      </c>
      <c r="B5" s="20" t="n">
        <v>2900</v>
      </c>
      <c r="C5" s="20" t="n">
        <v>7700</v>
      </c>
      <c r="D5" s="20" t="n">
        <v>17300</v>
      </c>
      <c r="E5" s="20" t="n">
        <v>35300</v>
      </c>
      <c r="F5" s="20" t="n">
        <v>65300</v>
      </c>
    </row>
    <row r="6">
      <c r="A6" s="11" t="inlineStr">
        <is>
          <t>Monthly New Customers (avg)</t>
        </is>
      </c>
      <c r="B6" s="20" t="n">
        <v>200</v>
      </c>
      <c r="C6" s="20" t="n">
        <v>400</v>
      </c>
      <c r="D6" s="20" t="n">
        <v>800</v>
      </c>
      <c r="E6" s="20" t="n">
        <v>1500</v>
      </c>
      <c r="F6" s="20" t="n">
        <v>2500</v>
      </c>
    </row>
    <row r="7">
      <c r="A7" s="5" t="inlineStr">
        <is>
          <t>Customer CAGR (Y1→Y5)</t>
        </is>
      </c>
      <c r="B7" s="59" t="inlineStr">
        <is>
          <t>—</t>
        </is>
      </c>
      <c r="C7" s="59" t="inlineStr">
        <is>
          <t>—</t>
        </is>
      </c>
      <c r="D7" s="59" t="inlineStr">
        <is>
          <t>—</t>
        </is>
      </c>
      <c r="E7" s="59" t="inlineStr">
        <is>
          <t>—</t>
        </is>
      </c>
      <c r="F7" s="33" t="n">
        <v>0.864</v>
      </c>
    </row>
    <row r="8">
      <c r="A8" s="11" t="inlineStr">
        <is>
          <t>MRR (Month 12, $000s)</t>
        </is>
      </c>
      <c r="B8" s="20" t="n">
        <v>863</v>
      </c>
      <c r="C8" s="20" t="n">
        <v>2502</v>
      </c>
      <c r="D8" s="20" t="n">
        <v>6260</v>
      </c>
      <c r="E8" s="20" t="n">
        <v>14359</v>
      </c>
      <c r="F8" s="20" t="n">
        <v>29960</v>
      </c>
    </row>
    <row r="9">
      <c r="A9" s="5" t="inlineStr">
        <is>
          <t>ARR (Year End, $000s)</t>
        </is>
      </c>
      <c r="B9" s="20" t="n">
        <v>10354</v>
      </c>
      <c r="C9" s="20" t="n">
        <v>30024</v>
      </c>
      <c r="D9" s="20" t="n">
        <v>75120</v>
      </c>
      <c r="E9" s="20" t="n">
        <v>172308</v>
      </c>
      <c r="F9" s="20" t="n">
        <v>359520</v>
      </c>
    </row>
    <row r="10">
      <c r="A10" s="5" t="inlineStr">
        <is>
          <t>ARR Growth YoY</t>
        </is>
      </c>
      <c r="B10" s="59" t="inlineStr">
        <is>
          <t>—</t>
        </is>
      </c>
      <c r="C10" s="33" t="n">
        <v>1.9</v>
      </c>
      <c r="D10" s="33" t="n">
        <v>1.5</v>
      </c>
      <c r="E10" s="33" t="n">
        <v>1.29</v>
      </c>
      <c r="F10" s="33" t="n">
        <v>1.09</v>
      </c>
    </row>
    <row r="12">
      <c r="A12" s="48" t="inlineStr">
        <is>
          <t>PRICING TIERS — ANNUAL LTV</t>
        </is>
      </c>
    </row>
    <row r="13">
      <c r="A13" s="48" t="inlineStr">
        <is>
          <t>Tier</t>
        </is>
      </c>
    </row>
    <row r="14">
      <c r="A14" s="2" t="inlineStr">
        <is>
          <t>TIER PRICING &amp; LTV ANALYSIS</t>
        </is>
      </c>
    </row>
    <row r="15">
      <c r="A15" s="4" t="inlineStr">
        <is>
          <t>Tier</t>
        </is>
      </c>
      <c r="B15" s="4" t="inlineStr">
        <is>
          <t>Monthly Price</t>
        </is>
      </c>
      <c r="C15" s="4" t="inlineStr">
        <is>
          <t>Annual Price</t>
        </is>
      </c>
      <c r="D15" s="4" t="inlineStr">
        <is>
          <t>2-Year LTV</t>
        </is>
      </c>
      <c r="E15" s="4" t="inlineStr">
        <is>
          <t>5-Year LTV</t>
        </is>
      </c>
      <c r="F15" s="4" t="inlineStr">
        <is>
          <t>LTV:CAC (est)</t>
        </is>
      </c>
      <c r="G15" s="4" t="inlineStr">
        <is>
          <t>CAC Payback (mo)</t>
        </is>
      </c>
    </row>
    <row r="16">
      <c r="A16" s="60" t="inlineStr">
        <is>
          <t>Bonded</t>
        </is>
      </c>
      <c r="B16" s="61" t="n">
        <v>197</v>
      </c>
      <c r="C16" s="62" t="n">
        <v>2364</v>
      </c>
      <c r="D16" s="62" t="n">
        <v>4728</v>
      </c>
      <c r="E16" s="63" t="n">
        <v>11820</v>
      </c>
      <c r="F16" s="64" t="inlineStr">
        <is>
          <t>12x</t>
        </is>
      </c>
      <c r="G16" s="65" t="n">
        <v>4</v>
      </c>
    </row>
    <row r="17">
      <c r="A17" s="60" t="inlineStr">
        <is>
          <t>Partnered</t>
        </is>
      </c>
      <c r="B17" s="61" t="n">
        <v>579</v>
      </c>
      <c r="C17" s="62" t="n">
        <v>6948</v>
      </c>
      <c r="D17" s="62" t="n">
        <v>13896</v>
      </c>
      <c r="E17" s="63" t="n">
        <v>34740</v>
      </c>
      <c r="F17" s="64" t="inlineStr">
        <is>
          <t>18x</t>
        </is>
      </c>
      <c r="G17" s="65" t="n">
        <v>3</v>
      </c>
    </row>
    <row r="18">
      <c r="A18" s="60" t="inlineStr">
        <is>
          <t>Unified</t>
        </is>
      </c>
      <c r="B18" s="61" t="n">
        <v>1089</v>
      </c>
      <c r="C18" s="62" t="n">
        <v>13068</v>
      </c>
      <c r="D18" s="62" t="n">
        <v>26136</v>
      </c>
      <c r="E18" s="63" t="n">
        <v>65340</v>
      </c>
      <c r="F18" s="64" t="inlineStr">
        <is>
          <t>22x</t>
        </is>
      </c>
      <c r="G18" s="65" t="n">
        <v>2</v>
      </c>
    </row>
    <row r="19">
      <c r="A19" s="60" t="inlineStr">
        <is>
          <t>Enterprise</t>
        </is>
      </c>
      <c r="B19" s="61" t="n">
        <v>5500</v>
      </c>
      <c r="C19" s="62" t="n">
        <v>66000</v>
      </c>
      <c r="D19" s="62" t="n">
        <v>132000</v>
      </c>
      <c r="E19" s="63" t="n">
        <v>330000</v>
      </c>
      <c r="F19" s="64" t="inlineStr">
        <is>
          <t>28x</t>
        </is>
      </c>
      <c r="G19" s="65" t="n">
        <v>2</v>
      </c>
    </row>
    <row r="21">
      <c r="A21" s="2" t="inlineStr">
        <is>
          <t>CHURN &amp; RETENTION METRICS</t>
        </is>
      </c>
    </row>
    <row r="22">
      <c r="A22" s="4" t="inlineStr">
        <is>
          <t>METRIC</t>
        </is>
      </c>
      <c r="B22" s="4" t="inlineStr">
        <is>
          <t>Y1 2026</t>
        </is>
      </c>
      <c r="C22" s="4" t="inlineStr">
        <is>
          <t>Y2 2027</t>
        </is>
      </c>
      <c r="D22" s="4" t="inlineStr">
        <is>
          <t>Y3 2028</t>
        </is>
      </c>
      <c r="E22" s="4" t="inlineStr">
        <is>
          <t>Y4 2029</t>
        </is>
      </c>
      <c r="F22" s="4" t="inlineStr">
        <is>
          <t>Y5 2030</t>
        </is>
      </c>
    </row>
    <row r="23">
      <c r="A23" s="11" t="inlineStr">
        <is>
          <t>Monthly Churn Rate</t>
        </is>
      </c>
      <c r="B23" s="66" t="n">
        <v>0.03</v>
      </c>
      <c r="C23" s="66" t="n">
        <v>0.025</v>
      </c>
      <c r="D23" s="66" t="n">
        <v>0.02</v>
      </c>
      <c r="E23" s="66" t="n">
        <v>0.015</v>
      </c>
      <c r="F23" s="66" t="n">
        <v>0.012</v>
      </c>
    </row>
    <row r="24">
      <c r="A24" s="11" t="inlineStr">
        <is>
          <t>Annual Churn Rate</t>
        </is>
      </c>
      <c r="B24" s="66" t="n">
        <v>0.306</v>
      </c>
      <c r="C24" s="66" t="n">
        <v>0.26</v>
      </c>
      <c r="D24" s="66" t="n">
        <v>0.213</v>
      </c>
      <c r="E24" s="66" t="n">
        <v>0.163</v>
      </c>
      <c r="F24" s="66" t="n">
        <v>0.136</v>
      </c>
    </row>
    <row r="25">
      <c r="A25" s="11" t="inlineStr">
        <is>
          <t>Customer Retention Rate</t>
        </is>
      </c>
      <c r="B25" s="66" t="n">
        <v>0.694</v>
      </c>
      <c r="C25" s="43" t="n">
        <v>0.74</v>
      </c>
      <c r="D25" s="43" t="n">
        <v>0.787</v>
      </c>
      <c r="E25" s="43" t="n">
        <v>0.837</v>
      </c>
      <c r="F25" s="43" t="n">
        <v>0.864</v>
      </c>
    </row>
    <row r="26">
      <c r="A26" s="11" t="inlineStr">
        <is>
          <t>Net Revenue Retention</t>
        </is>
      </c>
      <c r="B26" s="43" t="n">
        <v>1.05</v>
      </c>
      <c r="C26" s="43" t="n">
        <v>1.08</v>
      </c>
      <c r="D26" s="43" t="n">
        <v>1.1</v>
      </c>
      <c r="E26" s="43" t="n">
        <v>1.12</v>
      </c>
      <c r="F26" s="43" t="n">
        <v>1.15</v>
      </c>
    </row>
    <row r="27">
      <c r="A27" s="11" t="inlineStr">
        <is>
          <t>Logo Retention</t>
        </is>
      </c>
      <c r="B27" s="66" t="n">
        <v>0.694</v>
      </c>
      <c r="C27" s="43" t="n">
        <v>0.74</v>
      </c>
      <c r="D27" s="43" t="n">
        <v>0.787</v>
      </c>
      <c r="E27" s="43" t="n">
        <v>0.837</v>
      </c>
      <c r="F27" s="43" t="n">
        <v>0.864</v>
      </c>
    </row>
    <row r="28">
      <c r="A28" s="11" t="inlineStr">
        <is>
          <t>Expansion Revenue %</t>
        </is>
      </c>
      <c r="B28" s="66" t="n">
        <v>0.05</v>
      </c>
      <c r="C28" s="66" t="n">
        <v>0.08</v>
      </c>
      <c r="D28" s="66" t="n">
        <v>0.1</v>
      </c>
      <c r="E28" s="66" t="n">
        <v>0.12</v>
      </c>
      <c r="F28" s="66" t="n">
        <v>0.15</v>
      </c>
    </row>
    <row r="29">
      <c r="A29" s="11" t="inlineStr">
        <is>
          <t>Churned MRR ($000s)</t>
        </is>
      </c>
      <c r="B29" s="67" t="n">
        <v>-259</v>
      </c>
      <c r="C29" s="67" t="n">
        <v>-625</v>
      </c>
      <c r="D29" s="67" t="n">
        <v>-1253</v>
      </c>
      <c r="E29" s="67" t="n">
        <v>-2154</v>
      </c>
      <c r="F29" s="67" t="n">
        <v>-3595</v>
      </c>
    </row>
    <row r="30">
      <c r="A30" s="11" t="inlineStr">
        <is>
          <t>Expansion MRR ($000s)</t>
        </is>
      </c>
      <c r="B30" s="20" t="n">
        <v>508</v>
      </c>
      <c r="C30" s="20" t="n">
        <v>2401</v>
      </c>
      <c r="D30" s="20" t="n">
        <v>7512</v>
      </c>
      <c r="E30" s="20" t="n">
        <v>20677</v>
      </c>
      <c r="F30" s="20" t="n">
        <v>53929</v>
      </c>
    </row>
    <row r="32">
      <c r="A32" s="2" t="inlineStr">
        <is>
          <t>BENCHMARK COMPARISON</t>
        </is>
      </c>
    </row>
    <row r="33">
      <c r="A33" s="68" t="inlineStr">
        <is>
          <t>Metric</t>
        </is>
      </c>
      <c r="B33" s="68" t="inlineStr">
        <is>
          <t>PureBrain Target</t>
        </is>
      </c>
      <c r="C33" s="68" t="inlineStr">
        <is>
          <t>Best-in-Class SaaS</t>
        </is>
      </c>
      <c r="D33" s="68" t="inlineStr">
        <is>
          <t>Good SaaS</t>
        </is>
      </c>
      <c r="E33" s="68" t="inlineStr">
        <is>
          <t>Status</t>
        </is>
      </c>
    </row>
    <row r="34">
      <c r="A34" s="69" t="inlineStr">
        <is>
          <t>Gross Margin</t>
        </is>
      </c>
      <c r="B34" s="69" t="inlineStr">
        <is>
          <t>97%</t>
        </is>
      </c>
      <c r="C34" s="69" t="inlineStr">
        <is>
          <t>80-90%</t>
        </is>
      </c>
      <c r="D34" s="69" t="inlineStr">
        <is>
          <t>70-80%</t>
        </is>
      </c>
      <c r="E34" s="70" t="inlineStr">
        <is>
          <t>EXCEEDS</t>
        </is>
      </c>
    </row>
    <row r="35">
      <c r="A35" s="71" t="inlineStr">
        <is>
          <t>NRR</t>
        </is>
      </c>
      <c r="B35" s="71" t="inlineStr">
        <is>
          <t>105-115%</t>
        </is>
      </c>
      <c r="C35" s="71" t="inlineStr">
        <is>
          <t>120%+</t>
        </is>
      </c>
      <c r="D35" s="71" t="inlineStr">
        <is>
          <t>100-110%</t>
        </is>
      </c>
      <c r="E35" s="72" t="inlineStr">
        <is>
          <t>ON TRACK</t>
        </is>
      </c>
    </row>
    <row r="36">
      <c r="A36" s="69" t="inlineStr">
        <is>
          <t>EBITDA Margin</t>
        </is>
      </c>
      <c r="B36" s="69" t="inlineStr">
        <is>
          <t>87-89%</t>
        </is>
      </c>
      <c r="C36" s="69" t="inlineStr">
        <is>
          <t>30-40%</t>
        </is>
      </c>
      <c r="D36" s="69" t="inlineStr">
        <is>
          <t>15-25%</t>
        </is>
      </c>
      <c r="E36" s="70" t="inlineStr">
        <is>
          <t>EXCEEDS</t>
        </is>
      </c>
    </row>
    <row r="37">
      <c r="A37" s="71" t="inlineStr">
        <is>
          <t>CAC Payback</t>
        </is>
      </c>
      <c r="B37" s="71" t="inlineStr">
        <is>
          <t>2-4 mo</t>
        </is>
      </c>
      <c r="C37" s="71" t="inlineStr">
        <is>
          <t>12 mo</t>
        </is>
      </c>
      <c r="D37" s="71" t="inlineStr">
        <is>
          <t>18-24 mo</t>
        </is>
      </c>
      <c r="E37" s="73" t="inlineStr">
        <is>
          <t>EXCEEDS</t>
        </is>
      </c>
    </row>
    <row r="38">
      <c r="A38" s="69" t="inlineStr">
        <is>
          <t>Annual Churn</t>
        </is>
      </c>
      <c r="B38" s="69" t="inlineStr">
        <is>
          <t>13-31%</t>
        </is>
      </c>
      <c r="C38" s="69" t="inlineStr">
        <is>
          <t>&lt;5%</t>
        </is>
      </c>
      <c r="D38" s="69" t="inlineStr">
        <is>
          <t>&lt;10%</t>
        </is>
      </c>
      <c r="E38" s="74" t="inlineStr">
        <is>
          <t>NEEDS WORK</t>
        </is>
      </c>
    </row>
    <row r="39">
      <c r="A39" s="71" t="inlineStr">
        <is>
          <t>LTV:CAC</t>
        </is>
      </c>
      <c r="B39" s="71" t="inlineStr">
        <is>
          <t>12-28x</t>
        </is>
      </c>
      <c r="C39" s="71" t="inlineStr">
        <is>
          <t>3-5x</t>
        </is>
      </c>
      <c r="D39" s="71" t="inlineStr">
        <is>
          <t>2-3x</t>
        </is>
      </c>
      <c r="E39" s="73" t="inlineStr">
        <is>
          <t>EXCEEDS</t>
        </is>
      </c>
    </row>
  </sheetData>
  <mergeCells count="7">
    <mergeCell ref="A32:G32"/>
    <mergeCell ref="A13:G13"/>
    <mergeCell ref="A14:G14"/>
    <mergeCell ref="A1:G1"/>
    <mergeCell ref="A21:G21"/>
    <mergeCell ref="A12:G12"/>
    <mergeCell ref="A4:G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75" t="inlineStr">
        <is>
          <t>PURE TECHNOLOGY — VALUATION ANALYSIS</t>
        </is>
      </c>
    </row>
    <row r="3">
      <c r="A3" s="9" t="inlineStr">
        <is>
          <t>CURRENT FUNDING STATUS</t>
        </is>
      </c>
    </row>
    <row r="4">
      <c r="A4" s="76" t="inlineStr">
        <is>
          <t>Seed Pre-Money Valuation</t>
        </is>
      </c>
      <c r="B4" s="77" t="inlineStr">
        <is>
          <t>$55M</t>
        </is>
      </c>
    </row>
    <row r="5">
      <c r="A5" s="76" t="inlineStr">
        <is>
          <t>Seed Share Price</t>
        </is>
      </c>
      <c r="B5" s="77" t="inlineStr">
        <is>
          <t>$3.36</t>
        </is>
      </c>
    </row>
    <row r="6">
      <c r="A6" s="76" t="inlineStr">
        <is>
          <t>Series A Pre-Money</t>
        </is>
      </c>
      <c r="B6" s="77" t="inlineStr">
        <is>
          <t>$105M</t>
        </is>
      </c>
    </row>
    <row r="7">
      <c r="A7" s="76" t="inlineStr">
        <is>
          <t>Series A Status</t>
        </is>
      </c>
      <c r="B7" s="78" t="inlineStr">
        <is>
          <t>TERM SHEET SIGNED</t>
        </is>
      </c>
    </row>
    <row r="8">
      <c r="A8" s="76" t="inlineStr">
        <is>
          <t>Series A Implied ARR Multiple</t>
        </is>
      </c>
      <c r="B8" s="77" t="inlineStr">
        <is>
          <t>3.5x on $30M ARR</t>
        </is>
      </c>
    </row>
    <row r="10">
      <c r="A10" s="9" t="inlineStr">
        <is>
          <t>VALUATION BY YEAR — REVENUE MULTIPLES</t>
        </is>
      </c>
    </row>
    <row r="11">
      <c r="A11" s="4" t="inlineStr">
        <is>
          <t>METRIC</t>
        </is>
      </c>
      <c r="B11" s="4" t="inlineStr">
        <is>
          <t>Y1 2026</t>
        </is>
      </c>
      <c r="C11" s="4" t="inlineStr">
        <is>
          <t>Y2 2027</t>
        </is>
      </c>
      <c r="D11" s="4" t="inlineStr">
        <is>
          <t>Y3 2028</t>
        </is>
      </c>
      <c r="E11" s="4" t="inlineStr">
        <is>
          <t>Y4 2029</t>
        </is>
      </c>
      <c r="F11" s="4" t="inlineStr">
        <is>
          <t>Y5 2030</t>
        </is>
      </c>
      <c r="G11" s="4" t="inlineStr">
        <is>
          <t>Y6 VISION</t>
        </is>
      </c>
      <c r="H11" s="4" t="inlineStr">
        <is>
          <t>Notes</t>
        </is>
      </c>
    </row>
    <row r="12">
      <c r="A12" s="11" t="inlineStr">
        <is>
          <t>Total Revenue ($M)</t>
        </is>
      </c>
      <c r="B12" s="79" t="n">
        <v>281</v>
      </c>
      <c r="C12" s="79" t="n">
        <v>541</v>
      </c>
      <c r="D12" s="79" t="n">
        <v>639</v>
      </c>
      <c r="E12" s="79" t="n">
        <v>794</v>
      </c>
      <c r="F12" s="79" t="n">
        <v>1047</v>
      </c>
      <c r="G12" s="79" t="n">
        <v>13300</v>
      </c>
    </row>
    <row r="13">
      <c r="A13" s="11" t="inlineStr">
        <is>
          <t>PureBrain ARR ($M)</t>
        </is>
      </c>
      <c r="B13" s="79" t="n">
        <v>10</v>
      </c>
      <c r="C13" s="79" t="n">
        <v>30</v>
      </c>
      <c r="D13" s="79" t="n">
        <v>75</v>
      </c>
      <c r="E13" s="79" t="n">
        <v>172</v>
      </c>
      <c r="F13" s="79" t="n">
        <v>360</v>
      </c>
      <c r="G13" s="79" t="n">
        <v>3600</v>
      </c>
    </row>
    <row r="14">
      <c r="A14" s="11" t="inlineStr">
        <is>
          <t>EBITDA ($M)</t>
        </is>
      </c>
      <c r="B14" s="79" t="n">
        <v>89</v>
      </c>
      <c r="C14" s="79" t="n">
        <v>188</v>
      </c>
      <c r="D14" s="79" t="n">
        <v>251</v>
      </c>
      <c r="E14" s="79" t="n">
        <v>365</v>
      </c>
      <c r="F14" s="79" t="n">
        <v>562</v>
      </c>
      <c r="G14" s="80" t="inlineStr">
        <is>
          <t>—</t>
        </is>
      </c>
    </row>
    <row r="16">
      <c r="A16" s="11" t="inlineStr">
        <is>
          <t>Valuation at 5x Revenue ($M)</t>
        </is>
      </c>
      <c r="B16" s="81" t="n">
        <v>1407</v>
      </c>
      <c r="C16" s="81" t="n">
        <v>2705</v>
      </c>
      <c r="D16" s="81" t="n">
        <v>3194</v>
      </c>
      <c r="E16" s="81" t="n">
        <v>3972</v>
      </c>
      <c r="F16" s="81" t="n">
        <v>5237</v>
      </c>
      <c r="G16" s="80" t="inlineStr">
        <is>
          <t>—</t>
        </is>
      </c>
      <c r="H16" s="82" t="inlineStr">
        <is>
          <t>Bear case — conservative</t>
        </is>
      </c>
    </row>
    <row r="17">
      <c r="A17" s="11" t="inlineStr">
        <is>
          <t>Valuation at 8x Revenue ($M)</t>
        </is>
      </c>
      <c r="B17" s="81" t="n">
        <v>2252</v>
      </c>
      <c r="C17" s="81" t="n">
        <v>4328</v>
      </c>
      <c r="D17" s="81" t="n">
        <v>5111</v>
      </c>
      <c r="E17" s="81" t="n">
        <v>6355</v>
      </c>
      <c r="F17" s="81" t="n">
        <v>8379</v>
      </c>
      <c r="G17" s="80" t="inlineStr">
        <is>
          <t>—</t>
        </is>
      </c>
    </row>
    <row r="18">
      <c r="A18" s="11" t="inlineStr">
        <is>
          <t>Valuation at 10x Revenue ($M)</t>
        </is>
      </c>
      <c r="B18" s="83" t="n">
        <v>2815</v>
      </c>
      <c r="C18" s="83" t="n">
        <v>5410</v>
      </c>
      <c r="D18" s="83" t="n">
        <v>6388</v>
      </c>
      <c r="E18" s="83" t="n">
        <v>7944</v>
      </c>
      <c r="F18" s="83" t="n">
        <v>10474</v>
      </c>
      <c r="G18" s="83" t="n">
        <v>133000</v>
      </c>
      <c r="H18" s="82" t="inlineStr">
        <is>
          <t>Bull case — top-tier SaaS</t>
        </is>
      </c>
    </row>
    <row r="19">
      <c r="A19" s="11" t="inlineStr">
        <is>
          <t>PureBrain at 14x ARR ($M)</t>
        </is>
      </c>
      <c r="B19" s="79" t="n">
        <v>140</v>
      </c>
      <c r="C19" s="79" t="n">
        <v>420</v>
      </c>
      <c r="D19" s="79" t="n">
        <v>1050</v>
      </c>
      <c r="E19" s="79" t="n">
        <v>2408</v>
      </c>
      <c r="F19" s="79" t="n">
        <v>5040</v>
      </c>
      <c r="G19" s="80" t="inlineStr">
        <is>
          <t>—</t>
        </is>
      </c>
      <c r="H19" s="82" t="inlineStr">
        <is>
          <t>PureBrain standalone SaaS value</t>
        </is>
      </c>
    </row>
    <row r="21">
      <c r="A21" s="11" t="inlineStr">
        <is>
          <t>EBITDA Multiple (15x)</t>
        </is>
      </c>
      <c r="B21" s="81" t="n">
        <v>1335</v>
      </c>
      <c r="C21" s="81" t="n">
        <v>2820</v>
      </c>
      <c r="D21" s="81" t="n">
        <v>3767</v>
      </c>
      <c r="E21" s="81" t="n">
        <v>5474</v>
      </c>
      <c r="F21" s="81" t="n">
        <v>8433</v>
      </c>
      <c r="G21" s="80" t="inlineStr">
        <is>
          <t>—</t>
        </is>
      </c>
    </row>
    <row r="22">
      <c r="A22" s="11" t="inlineStr">
        <is>
          <t>EBITDA Multiple (20x)</t>
        </is>
      </c>
      <c r="B22" s="83" t="n">
        <v>1780</v>
      </c>
      <c r="C22" s="83" t="n">
        <v>3760</v>
      </c>
      <c r="D22" s="83" t="n">
        <v>5023</v>
      </c>
      <c r="E22" s="83" t="n">
        <v>7299</v>
      </c>
      <c r="F22" s="83" t="n">
        <v>11244</v>
      </c>
      <c r="G22" s="80" t="inlineStr">
        <is>
          <t>—</t>
        </is>
      </c>
    </row>
    <row r="24">
      <c r="A24" s="5" t="inlineStr">
        <is>
          <t>Year 6 VISION ($133B)</t>
        </is>
      </c>
      <c r="B24" s="80" t="inlineStr">
        <is>
          <t>—</t>
        </is>
      </c>
      <c r="C24" s="80" t="inlineStr">
        <is>
          <t>—</t>
        </is>
      </c>
      <c r="D24" s="80" t="inlineStr">
        <is>
          <t>—</t>
        </is>
      </c>
      <c r="E24" s="80" t="inlineStr">
        <is>
          <t>—</t>
        </is>
      </c>
      <c r="F24" s="80" t="inlineStr">
        <is>
          <t>—</t>
        </is>
      </c>
      <c r="G24" s="84" t="n">
        <v>133000</v>
      </c>
    </row>
    <row r="26">
      <c r="A26" s="9" t="inlineStr">
        <is>
          <t>COMPARABLE COMPANIES</t>
        </is>
      </c>
    </row>
    <row r="27">
      <c r="A27" s="4" t="inlineStr">
        <is>
          <t>Company</t>
        </is>
      </c>
      <c r="B27" s="4" t="inlineStr">
        <is>
          <t>Business</t>
        </is>
      </c>
      <c r="C27" s="4" t="inlineStr">
        <is>
          <t>Revenue</t>
        </is>
      </c>
      <c r="D27" s="4" t="inlineStr">
        <is>
          <t>EBITDA%</t>
        </is>
      </c>
      <c r="E27" s="4" t="inlineStr">
        <is>
          <t>Gross Margin</t>
        </is>
      </c>
      <c r="F27" s="4" t="inlineStr">
        <is>
          <t>NRR</t>
        </is>
      </c>
      <c r="G27" s="4" t="inlineStr">
        <is>
          <t>Revenue Multiple</t>
        </is>
      </c>
      <c r="H27" s="4" t="inlineStr">
        <is>
          <t>Notes</t>
        </is>
      </c>
    </row>
    <row r="28">
      <c r="A28" s="71" t="inlineStr">
        <is>
          <t>Salesforce</t>
        </is>
      </c>
      <c r="B28" s="71" t="inlineStr">
        <is>
          <t>CRM SaaS</t>
        </is>
      </c>
      <c r="C28" s="71" t="inlineStr">
        <is>
          <t>$34B</t>
        </is>
      </c>
      <c r="D28" s="71" t="inlineStr">
        <is>
          <t>20%</t>
        </is>
      </c>
      <c r="E28" s="71" t="inlineStr">
        <is>
          <t>75%</t>
        </is>
      </c>
      <c r="F28" s="71" t="inlineStr">
        <is>
          <t>110%</t>
        </is>
      </c>
      <c r="G28" s="71" t="inlineStr">
        <is>
          <t>6-8x</t>
        </is>
      </c>
      <c r="H28" s="71" t="inlineStr">
        <is>
          <t>Mature SaaS</t>
        </is>
      </c>
    </row>
    <row r="29">
      <c r="A29" s="69" t="inlineStr">
        <is>
          <t>HubSpot</t>
        </is>
      </c>
      <c r="B29" s="69" t="inlineStr">
        <is>
          <t>Mktg SaaS</t>
        </is>
      </c>
      <c r="C29" s="69" t="inlineStr">
        <is>
          <t>$2.2B</t>
        </is>
      </c>
      <c r="D29" s="69" t="inlineStr">
        <is>
          <t>15%</t>
        </is>
      </c>
      <c r="E29" s="69" t="inlineStr">
        <is>
          <t>85%</t>
        </is>
      </c>
      <c r="F29" s="69" t="inlineStr">
        <is>
          <t>105%</t>
        </is>
      </c>
      <c r="G29" s="69" t="inlineStr">
        <is>
          <t>8-12x</t>
        </is>
      </c>
      <c r="H29" s="69" t="inlineStr">
        <is>
          <t>Growth SaaS</t>
        </is>
      </c>
    </row>
    <row r="30">
      <c r="A30" s="71" t="inlineStr">
        <is>
          <t>ServiceNow</t>
        </is>
      </c>
      <c r="B30" s="71" t="inlineStr">
        <is>
          <t>Enterprise SaaS</t>
        </is>
      </c>
      <c r="C30" s="71" t="inlineStr">
        <is>
          <t>$10.1B</t>
        </is>
      </c>
      <c r="D30" s="71" t="inlineStr">
        <is>
          <t>25%</t>
        </is>
      </c>
      <c r="E30" s="71" t="inlineStr">
        <is>
          <t>80%</t>
        </is>
      </c>
      <c r="F30" s="71" t="inlineStr">
        <is>
          <t>120%</t>
        </is>
      </c>
      <c r="G30" s="71" t="inlineStr">
        <is>
          <t>12-15x</t>
        </is>
      </c>
      <c r="H30" s="71" t="inlineStr">
        <is>
          <t>Workflow AI</t>
        </is>
      </c>
    </row>
    <row r="31">
      <c r="A31" s="85" t="inlineStr">
        <is>
          <t>PureBrain</t>
        </is>
      </c>
      <c r="B31" s="85" t="inlineStr">
        <is>
          <t>AI Brain SaaS</t>
        </is>
      </c>
      <c r="C31" s="85" t="inlineStr">
        <is>
          <t>$30M ARR</t>
        </is>
      </c>
      <c r="D31" s="85" t="inlineStr">
        <is>
          <t>87%</t>
        </is>
      </c>
      <c r="E31" s="85" t="inlineStr">
        <is>
          <t>97%</t>
        </is>
      </c>
      <c r="F31" s="85" t="inlineStr">
        <is>
          <t>108%</t>
        </is>
      </c>
      <c r="G31" s="85" t="inlineStr">
        <is>
          <t>14x ARR</t>
        </is>
      </c>
      <c r="H31" s="85" t="inlineStr">
        <is>
          <t>THIS MODEL Y2</t>
        </is>
      </c>
    </row>
  </sheetData>
  <mergeCells count="4">
    <mergeCell ref="A10:H10"/>
    <mergeCell ref="A26:H26"/>
    <mergeCell ref="A3:D3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18" t="inlineStr">
        <is>
          <t>PURE TECHNOLOGY — SENSITIVITY ANALYSIS (Bear / Base / Bull)</t>
        </is>
      </c>
    </row>
    <row r="3">
      <c r="A3" s="3" t="inlineStr">
        <is>
          <t>PUREBRAIN — SCENARIO ANALYSIS (Y5 ARR)</t>
        </is>
      </c>
    </row>
    <row r="4">
      <c r="A4" s="4" t="inlineStr">
        <is>
          <t>METRIC</t>
        </is>
      </c>
      <c r="B4" s="4" t="inlineStr">
        <is>
          <t>Bear</t>
        </is>
      </c>
      <c r="C4" s="4" t="inlineStr">
        <is>
          <t>Base</t>
        </is>
      </c>
      <c r="D4" s="4" t="inlineStr">
        <is>
          <t>Bull</t>
        </is>
      </c>
      <c r="E4" s="4" t="inlineStr">
        <is>
          <t>Bear ARR Impact</t>
        </is>
      </c>
      <c r="F4" s="4" t="inlineStr">
        <is>
          <t>Base ARR</t>
        </is>
      </c>
      <c r="G4" s="4" t="inlineStr">
        <is>
          <t>Bull ARR</t>
        </is>
      </c>
      <c r="H4" s="4" t="inlineStr">
        <is>
          <t>Key Driver</t>
        </is>
      </c>
    </row>
    <row r="5">
      <c r="A5" s="5" t="inlineStr">
        <is>
          <t>Customer Growth Rate</t>
        </is>
      </c>
      <c r="B5" s="86" t="inlineStr">
        <is>
          <t>50/mo</t>
        </is>
      </c>
      <c r="C5" s="87" t="inlineStr">
        <is>
          <t>200/mo</t>
        </is>
      </c>
      <c r="D5" s="88" t="inlineStr">
        <is>
          <t>400/mo</t>
        </is>
      </c>
      <c r="E5" s="67" t="n">
        <v>72000000</v>
      </c>
      <c r="F5" s="89" t="n">
        <v>359520000</v>
      </c>
      <c r="G5" s="90" t="n">
        <v>720000000</v>
      </c>
      <c r="H5" s="7" t="inlineStr">
        <is>
          <t>Monthly new customer acquisition</t>
        </is>
      </c>
    </row>
    <row r="6">
      <c r="A6" s="5" t="inlineStr">
        <is>
          <t>Average ARPU</t>
        </is>
      </c>
      <c r="B6" s="86" t="inlineStr">
        <is>
          <t>$300/mo</t>
        </is>
      </c>
      <c r="C6" s="87" t="inlineStr">
        <is>
          <t>$470/mo</t>
        </is>
      </c>
      <c r="D6" s="88" t="inlineStr">
        <is>
          <t>$650/mo</t>
        </is>
      </c>
      <c r="E6" s="67" t="n">
        <v>72000000</v>
      </c>
      <c r="F6" s="89" t="n">
        <v>359520000</v>
      </c>
      <c r="G6" s="90" t="n">
        <v>507000000</v>
      </c>
      <c r="H6" s="7" t="inlineStr">
        <is>
          <t>Tier mix + upgrade path</t>
        </is>
      </c>
    </row>
    <row r="7">
      <c r="A7" s="5" t="inlineStr">
        <is>
          <t>Monthly Churn</t>
        </is>
      </c>
      <c r="B7" s="86" t="inlineStr">
        <is>
          <t>4.5%</t>
        </is>
      </c>
      <c r="C7" s="87" t="inlineStr">
        <is>
          <t>1.2%</t>
        </is>
      </c>
      <c r="D7" s="88" t="inlineStr">
        <is>
          <t>0.5%</t>
        </is>
      </c>
      <c r="E7" s="67" t="n">
        <v>180000000</v>
      </c>
      <c r="F7" s="89" t="n">
        <v>359520000</v>
      </c>
      <c r="G7" s="90" t="n">
        <v>432000000</v>
      </c>
      <c r="H7" s="7" t="inlineStr">
        <is>
          <t>Product-market fit signal</t>
        </is>
      </c>
    </row>
    <row r="8">
      <c r="A8" s="5" t="inlineStr">
        <is>
          <t>Enterprise Mix %</t>
        </is>
      </c>
      <c r="B8" s="86" t="inlineStr">
        <is>
          <t>1%</t>
        </is>
      </c>
      <c r="C8" s="87" t="inlineStr">
        <is>
          <t>7%</t>
        </is>
      </c>
      <c r="D8" s="88" t="inlineStr">
        <is>
          <t>15%</t>
        </is>
      </c>
      <c r="E8" s="67" t="n">
        <v>228000000</v>
      </c>
      <c r="F8" s="89" t="n">
        <v>359520000</v>
      </c>
      <c r="G8" s="90" t="n">
        <v>540000000</v>
      </c>
      <c r="H8" s="7" t="inlineStr">
        <is>
          <t>Enterprise sales motion</t>
        </is>
      </c>
    </row>
    <row r="9">
      <c r="A9" s="5" t="inlineStr">
        <is>
          <t>NRR</t>
        </is>
      </c>
      <c r="B9" s="86" t="inlineStr">
        <is>
          <t>95%</t>
        </is>
      </c>
      <c r="C9" s="87" t="inlineStr">
        <is>
          <t>115%</t>
        </is>
      </c>
      <c r="D9" s="88" t="inlineStr">
        <is>
          <t>130%</t>
        </is>
      </c>
      <c r="E9" s="67" t="n">
        <v>215000000</v>
      </c>
      <c r="F9" s="89" t="n">
        <v>359520000</v>
      </c>
      <c r="G9" s="90" t="n">
        <v>466000000</v>
      </c>
      <c r="H9" s="7" t="inlineStr">
        <is>
          <t>Expansion + upsell velocity</t>
        </is>
      </c>
    </row>
    <row r="11">
      <c r="A11" s="9" t="inlineStr">
        <is>
          <t>PT CORE — SCENARIO ANALYSIS (Y5 Revenue)</t>
        </is>
      </c>
    </row>
    <row r="12">
      <c r="A12" s="4" t="inlineStr">
        <is>
          <t>METRIC</t>
        </is>
      </c>
      <c r="B12" s="4" t="inlineStr">
        <is>
          <t>Bear</t>
        </is>
      </c>
      <c r="C12" s="4" t="inlineStr">
        <is>
          <t>Base</t>
        </is>
      </c>
      <c r="D12" s="4" t="inlineStr">
        <is>
          <t>Bull</t>
        </is>
      </c>
      <c r="E12" s="4" t="inlineStr">
        <is>
          <t>Bear ARR Impact</t>
        </is>
      </c>
      <c r="F12" s="4" t="inlineStr">
        <is>
          <t>Base ARR</t>
        </is>
      </c>
      <c r="G12" s="4" t="inlineStr">
        <is>
          <t>Bull ARR</t>
        </is>
      </c>
      <c r="H12" s="4" t="inlineStr">
        <is>
          <t>Key Driver</t>
        </is>
      </c>
    </row>
    <row r="13">
      <c r="A13" s="5" t="inlineStr">
        <is>
          <t>Revenue Growth Rate</t>
        </is>
      </c>
      <c r="B13" s="86" t="inlineStr">
        <is>
          <t>3%/yr</t>
        </is>
      </c>
      <c r="C13" s="87" t="inlineStr">
        <is>
          <t>8%/yr</t>
        </is>
      </c>
      <c r="D13" s="88" t="inlineStr">
        <is>
          <t>15%/yr</t>
        </is>
      </c>
      <c r="E13" s="67" t="n">
        <v>555000000</v>
      </c>
      <c r="F13" s="89" t="n">
        <v>676414000</v>
      </c>
      <c r="G13" s="90" t="n">
        <v>855000000</v>
      </c>
      <c r="H13" s="7" t="inlineStr">
        <is>
          <t>Market expansion pace</t>
        </is>
      </c>
    </row>
    <row r="14">
      <c r="A14" s="5" t="inlineStr">
        <is>
          <t>Gross Margin %</t>
        </is>
      </c>
      <c r="B14" s="86" t="inlineStr">
        <is>
          <t>45%</t>
        </is>
      </c>
      <c r="C14" s="87" t="inlineStr">
        <is>
          <t>59%</t>
        </is>
      </c>
      <c r="D14" s="88" t="inlineStr">
        <is>
          <t>65%</t>
        </is>
      </c>
      <c r="E14" s="67" t="n">
        <v>249750000</v>
      </c>
      <c r="F14" s="89" t="n">
        <v>398884000</v>
      </c>
      <c r="G14" s="90" t="n">
        <v>556350000</v>
      </c>
      <c r="H14" s="7" t="inlineStr">
        <is>
          <t>Mix shift toward higher-value services</t>
        </is>
      </c>
    </row>
    <row r="15">
      <c r="A15" s="5" t="inlineStr">
        <is>
          <t>OpEx Efficiency</t>
        </is>
      </c>
      <c r="B15" s="86" t="inlineStr">
        <is>
          <t>25% of Rev</t>
        </is>
      </c>
      <c r="C15" s="87" t="inlineStr">
        <is>
          <t>20% of Rev</t>
        </is>
      </c>
      <c r="D15" s="88" t="inlineStr">
        <is>
          <t>15% of Rev</t>
        </is>
      </c>
      <c r="E15" s="67" t="n">
        <v>203625000</v>
      </c>
      <c r="F15" s="89" t="n">
        <v>263601000</v>
      </c>
      <c r="G15" s="90" t="n">
        <v>321000000</v>
      </c>
      <c r="H15" s="7" t="inlineStr">
        <is>
          <t>AI-driven efficiency gains</t>
        </is>
      </c>
    </row>
    <row r="17">
      <c r="A17" s="91" t="inlineStr">
        <is>
          <t>COMPANY EBITDA MARGIN — BLENDED SCENARIO (Y5)</t>
        </is>
      </c>
    </row>
    <row r="18">
      <c r="A18" s="4" t="inlineStr">
        <is>
          <t>METRIC</t>
        </is>
      </c>
      <c r="B18" s="4" t="inlineStr">
        <is>
          <t>Bear</t>
        </is>
      </c>
      <c r="C18" s="4" t="inlineStr">
        <is>
          <t>Base</t>
        </is>
      </c>
      <c r="D18" s="4" t="inlineStr">
        <is>
          <t>Bull</t>
        </is>
      </c>
      <c r="E18" s="4" t="inlineStr">
        <is>
          <t>Bear ARR Impact</t>
        </is>
      </c>
      <c r="F18" s="4" t="inlineStr">
        <is>
          <t>Base ARR</t>
        </is>
      </c>
      <c r="G18" s="4" t="inlineStr">
        <is>
          <t>Bull ARR</t>
        </is>
      </c>
      <c r="H18" s="4" t="inlineStr">
        <is>
          <t>Key Driver</t>
        </is>
      </c>
    </row>
    <row r="19">
      <c r="A19" s="5" t="inlineStr">
        <is>
          <t>Bear: Low PB, Low PT Margins</t>
        </is>
      </c>
      <c r="B19" s="86" t="inlineStr">
        <is>
          <t>20%</t>
        </is>
      </c>
      <c r="C19" s="87" t="inlineStr">
        <is>
          <t>—</t>
        </is>
      </c>
      <c r="D19" s="88" t="inlineStr">
        <is>
          <t>—</t>
        </is>
      </c>
      <c r="E19" s="67" t="n">
        <v>214000000</v>
      </c>
      <c r="F19" s="89" t="n"/>
      <c r="G19" s="90" t="n"/>
      <c r="H19" s="7" t="inlineStr">
        <is>
          <t>Churn high, PT margin compresses</t>
        </is>
      </c>
    </row>
    <row r="20">
      <c r="A20" s="5" t="inlineStr">
        <is>
          <t>Base: Current Model</t>
        </is>
      </c>
      <c r="B20" s="86" t="inlineStr">
        <is>
          <t>—</t>
        </is>
      </c>
      <c r="C20" s="87" t="inlineStr">
        <is>
          <t>54%</t>
        </is>
      </c>
      <c r="D20" s="88" t="inlineStr">
        <is>
          <t>—</t>
        </is>
      </c>
      <c r="E20" s="67" t="n"/>
      <c r="F20" s="89" t="n">
        <v>562435000</v>
      </c>
      <c r="G20" s="90" t="n"/>
      <c r="H20" s="7" t="inlineStr">
        <is>
          <t>Base case as modeled</t>
        </is>
      </c>
    </row>
    <row r="21">
      <c r="A21" s="5" t="inlineStr">
        <is>
          <t>Bull: PB Dominates Mix</t>
        </is>
      </c>
      <c r="B21" s="86" t="inlineStr">
        <is>
          <t>—</t>
        </is>
      </c>
      <c r="C21" s="87" t="inlineStr">
        <is>
          <t>—</t>
        </is>
      </c>
      <c r="D21" s="88" t="inlineStr">
        <is>
          <t>65%+</t>
        </is>
      </c>
      <c r="E21" s="67" t="n"/>
      <c r="F21" s="89" t="n"/>
      <c r="G21" s="90" t="n">
        <v>682000000</v>
      </c>
      <c r="H21" s="7" t="inlineStr">
        <is>
          <t>PureBrain = 50%+ of revenue mix</t>
        </is>
      </c>
    </row>
  </sheetData>
  <mergeCells count="4">
    <mergeCell ref="A3:H3"/>
    <mergeCell ref="A11:H11"/>
    <mergeCell ref="A17:H17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75" t="inlineStr">
        <is>
          <t>PURE TECHNOLOGY — INVESTOR RETURN ANALYSIS</t>
        </is>
      </c>
    </row>
    <row r="3">
      <c r="A3" s="9" t="inlineStr">
        <is>
          <t>SEED ROUND RETURNS — $55M Pre-Money, $3.36/share</t>
        </is>
      </c>
    </row>
    <row r="4">
      <c r="A4" s="4" t="inlineStr">
        <is>
          <t>Investment ($)</t>
        </is>
      </c>
      <c r="B4" s="4" t="inlineStr">
        <is>
          <t>Ownership %</t>
        </is>
      </c>
      <c r="C4" s="4" t="inlineStr">
        <is>
          <t>Y1 Value</t>
        </is>
      </c>
      <c r="D4" s="4" t="inlineStr">
        <is>
          <t>Y3 Value</t>
        </is>
      </c>
      <c r="E4" s="4" t="inlineStr">
        <is>
          <t>Y5 Value</t>
        </is>
      </c>
      <c r="F4" s="4" t="inlineStr">
        <is>
          <t>Y5 Return</t>
        </is>
      </c>
      <c r="G4" s="4" t="inlineStr">
        <is>
          <t>Y5 IRR (est)</t>
        </is>
      </c>
      <c r="H4" s="4" t="inlineStr">
        <is>
          <t>Path to Return</t>
        </is>
      </c>
    </row>
    <row r="5">
      <c r="A5" s="92" t="n">
        <v>100000</v>
      </c>
      <c r="B5" s="93" t="n">
        <v>0.0018</v>
      </c>
      <c r="C5" s="65" t="n">
        <v>50910</v>
      </c>
      <c r="D5" s="65" t="n">
        <v>115000</v>
      </c>
      <c r="E5" s="94" t="n">
        <v>190000</v>
      </c>
      <c r="F5" s="95" t="inlineStr">
        <is>
          <t>1.9x</t>
        </is>
      </c>
      <c r="G5" s="96" t="inlineStr">
        <is>
          <t>47%</t>
        </is>
      </c>
      <c r="H5" s="97" t="inlineStr">
        <is>
          <t>Very early entry</t>
        </is>
      </c>
    </row>
    <row r="6">
      <c r="A6" s="92" t="n">
        <v>250000</v>
      </c>
      <c r="B6" s="93" t="n">
        <v>0.0045</v>
      </c>
      <c r="C6" s="65" t="n">
        <v>127274</v>
      </c>
      <c r="D6" s="65" t="n">
        <v>287500</v>
      </c>
      <c r="E6" s="94" t="n">
        <v>474000</v>
      </c>
      <c r="F6" s="95" t="inlineStr">
        <is>
          <t>1.9x</t>
        </is>
      </c>
      <c r="G6" s="96" t="inlineStr">
        <is>
          <t>47%</t>
        </is>
      </c>
      <c r="H6" s="97" t="inlineStr">
        <is>
          <t>Seed participant</t>
        </is>
      </c>
    </row>
    <row r="7">
      <c r="A7" s="92" t="n">
        <v>500000</v>
      </c>
      <c r="B7" s="93" t="n">
        <v>0.0091</v>
      </c>
      <c r="C7" s="65" t="n">
        <v>254545</v>
      </c>
      <c r="D7" s="65" t="n">
        <v>575000</v>
      </c>
      <c r="E7" s="94" t="n">
        <v>948000</v>
      </c>
      <c r="F7" s="95" t="inlineStr">
        <is>
          <t>1.9x</t>
        </is>
      </c>
      <c r="G7" s="96" t="inlineStr">
        <is>
          <t>47%</t>
        </is>
      </c>
      <c r="H7" s="97" t="inlineStr">
        <is>
          <t>Seed lead unit</t>
        </is>
      </c>
    </row>
    <row r="8">
      <c r="A8" s="92" t="n">
        <v>1000000</v>
      </c>
      <c r="B8" s="93" t="n">
        <v>0.0182</v>
      </c>
      <c r="C8" s="65" t="n">
        <v>509090</v>
      </c>
      <c r="D8" s="65" t="n">
        <v>1150000</v>
      </c>
      <c r="E8" s="94" t="n">
        <v>1896000</v>
      </c>
      <c r="F8" s="95" t="inlineStr">
        <is>
          <t>1.9x</t>
        </is>
      </c>
      <c r="G8" s="96" t="inlineStr">
        <is>
          <t>47%</t>
        </is>
      </c>
      <c r="H8" s="97" t="inlineStr">
        <is>
          <t>Meaningful seed</t>
        </is>
      </c>
    </row>
    <row r="9">
      <c r="A9" s="92" t="n">
        <v>5000000</v>
      </c>
      <c r="B9" s="93" t="n">
        <v>0.09089999999999999</v>
      </c>
      <c r="C9" s="65" t="n">
        <v>2545454</v>
      </c>
      <c r="D9" s="65" t="n">
        <v>5750000</v>
      </c>
      <c r="E9" s="94" t="n">
        <v>9478000</v>
      </c>
      <c r="F9" s="95" t="inlineStr">
        <is>
          <t>1.9x</t>
        </is>
      </c>
      <c r="G9" s="96" t="inlineStr">
        <is>
          <t>47%</t>
        </is>
      </c>
      <c r="H9" s="97" t="inlineStr">
        <is>
          <t>Anchor investor</t>
        </is>
      </c>
    </row>
    <row r="10">
      <c r="A10" s="92" t="n">
        <v>10000000</v>
      </c>
      <c r="B10" s="93" t="n">
        <v>0.1818</v>
      </c>
      <c r="C10" s="65" t="n">
        <v>5090909</v>
      </c>
      <c r="D10" s="65" t="n">
        <v>11500000</v>
      </c>
      <c r="E10" s="94" t="n">
        <v>18957000</v>
      </c>
      <c r="F10" s="95" t="inlineStr">
        <is>
          <t>1.9x</t>
        </is>
      </c>
      <c r="G10" s="96" t="inlineStr">
        <is>
          <t>47%</t>
        </is>
      </c>
      <c r="H10" s="97" t="inlineStr">
        <is>
          <t>Lead investor</t>
        </is>
      </c>
    </row>
    <row r="12">
      <c r="A12" s="98" t="inlineStr">
        <is>
          <t>RETURN PATHWAY ILLUSTRATION — $1M Seed Investment</t>
        </is>
      </c>
    </row>
    <row r="13">
      <c r="A13" s="99" t="inlineStr">
        <is>
          <t>Stage</t>
        </is>
      </c>
      <c r="B13" s="68" t="inlineStr">
        <is>
          <t>Timing</t>
        </is>
      </c>
      <c r="C13" s="68" t="inlineStr">
        <is>
          <t>Company Valuation</t>
        </is>
      </c>
      <c r="D13" s="68" t="inlineStr">
        <is>
          <t>Your Share Value</t>
        </is>
      </c>
      <c r="E13" s="68" t="inlineStr">
        <is>
          <t>Multiple</t>
        </is>
      </c>
      <c r="F13" s="68" t="inlineStr">
        <is>
          <t>Notes</t>
        </is>
      </c>
    </row>
    <row r="14">
      <c r="A14" s="60" t="inlineStr">
        <is>
          <t>Seed Investment</t>
        </is>
      </c>
      <c r="B14" s="71" t="inlineStr">
        <is>
          <t>Mar 2026</t>
        </is>
      </c>
      <c r="C14" s="71" t="inlineStr">
        <is>
          <t>$55M pre</t>
        </is>
      </c>
      <c r="D14" s="71" t="inlineStr">
        <is>
          <t>$1,000,000</t>
        </is>
      </c>
      <c r="E14" s="100" t="inlineStr">
        <is>
          <t>1.0x</t>
        </is>
      </c>
      <c r="F14" s="71" t="inlineStr">
        <is>
          <t>Entry point</t>
        </is>
      </c>
    </row>
    <row r="15">
      <c r="A15" s="60" t="inlineStr">
        <is>
          <t>Series A Close</t>
        </is>
      </c>
      <c r="B15" s="71" t="inlineStr">
        <is>
          <t>Q2 2026</t>
        </is>
      </c>
      <c r="C15" s="71" t="inlineStr">
        <is>
          <t>$105M+</t>
        </is>
      </c>
      <c r="D15" s="71" t="inlineStr">
        <is>
          <t>$1,900,000</t>
        </is>
      </c>
      <c r="E15" s="100" t="inlineStr">
        <is>
          <t>1.9x</t>
        </is>
      </c>
      <c r="F15" s="71" t="inlineStr">
        <is>
          <t>Diluted ~20%</t>
        </is>
      </c>
    </row>
    <row r="16">
      <c r="A16" s="101" t="inlineStr">
        <is>
          <t>PureBrain 10K customers</t>
        </is>
      </c>
      <c r="B16" s="102" t="inlineStr">
        <is>
          <t>Q4 2026</t>
        </is>
      </c>
      <c r="C16" s="102" t="inlineStr">
        <is>
          <t>$300M</t>
        </is>
      </c>
      <c r="D16" s="102" t="inlineStr">
        <is>
          <t>$5,400,000</t>
        </is>
      </c>
      <c r="E16" s="103" t="inlineStr">
        <is>
          <t>5.4x</t>
        </is>
      </c>
      <c r="F16" s="102" t="inlineStr">
        <is>
          <t>Revenue milestone</t>
        </is>
      </c>
    </row>
    <row r="17">
      <c r="A17" s="104" t="inlineStr">
        <is>
          <t>Y2 ARR $30M</t>
        </is>
      </c>
      <c r="B17" s="105" t="inlineStr">
        <is>
          <t>Dec 2027</t>
        </is>
      </c>
      <c r="C17" s="105" t="inlineStr">
        <is>
          <t>$800M</t>
        </is>
      </c>
      <c r="D17" s="105" t="inlineStr">
        <is>
          <t>$14,500,000</t>
        </is>
      </c>
      <c r="E17" s="106" t="inlineStr">
        <is>
          <t>14.5x</t>
        </is>
      </c>
      <c r="F17" s="105" t="inlineStr">
        <is>
          <t>SaaS scale point</t>
        </is>
      </c>
    </row>
    <row r="18">
      <c r="A18" s="104" t="inlineStr">
        <is>
          <t>Y3 Full Scale</t>
        </is>
      </c>
      <c r="B18" s="105" t="inlineStr">
        <is>
          <t>Dec 2028</t>
        </is>
      </c>
      <c r="C18" s="105" t="inlineStr">
        <is>
          <t>$2B</t>
        </is>
      </c>
      <c r="D18" s="105" t="inlineStr">
        <is>
          <t>$36,000,000</t>
        </is>
      </c>
      <c r="E18" s="106" t="inlineStr">
        <is>
          <t>36x</t>
        </is>
      </c>
      <c r="F18" s="105" t="inlineStr">
        <is>
          <t>Series B territory</t>
        </is>
      </c>
    </row>
    <row r="19">
      <c r="A19" s="107" t="inlineStr">
        <is>
          <t>Y5 Vision</t>
        </is>
      </c>
      <c r="B19" s="108" t="inlineStr">
        <is>
          <t>Dec 2030</t>
        </is>
      </c>
      <c r="C19" s="108" t="inlineStr">
        <is>
          <t>$10B+</t>
        </is>
      </c>
      <c r="D19" s="108" t="inlineStr">
        <is>
          <t>$182M+</t>
        </is>
      </c>
      <c r="E19" s="109" t="inlineStr">
        <is>
          <t>182x</t>
        </is>
      </c>
      <c r="F19" s="108" t="inlineStr">
        <is>
          <t>IPO candidate</t>
        </is>
      </c>
    </row>
    <row r="21">
      <c r="A21" s="36" t="inlineStr">
        <is>
          <t>DILUTION NOTE: Assumes 20% dilution at Series A, 25% at Series B (Y3). Returns shown on fully diluted basis. Early entry = maximum return potential.</t>
        </is>
      </c>
    </row>
  </sheetData>
  <mergeCells count="4">
    <mergeCell ref="A12:H12"/>
    <mergeCell ref="A3:H3"/>
    <mergeCell ref="A21:H21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 ht="28" customHeight="1">
      <c r="A1" s="18" t="inlineStr">
        <is>
          <t>PURE TECHNOLOGY — YEAR 1 MONTH-BY-MONTH DETAIL (Mar 2026 – Feb 2027)</t>
        </is>
      </c>
    </row>
    <row r="2">
      <c r="A2" s="34" t="inlineStr">
        <is>
          <t>PT Core starts Month 6 (Aug 2026). PureBrain launches Month 1 (Mar 2026).</t>
        </is>
      </c>
    </row>
    <row r="4">
      <c r="A4" s="4" t="inlineStr">
        <is>
          <t>METRIC</t>
        </is>
      </c>
      <c r="B4" s="4" t="inlineStr">
        <is>
          <t>M1
Mar</t>
        </is>
      </c>
      <c r="C4" s="4" t="inlineStr">
        <is>
          <t>M2
Apr</t>
        </is>
      </c>
      <c r="D4" s="4" t="inlineStr">
        <is>
          <t>M3
May</t>
        </is>
      </c>
      <c r="E4" s="4" t="inlineStr">
        <is>
          <t>M4
Jun</t>
        </is>
      </c>
      <c r="F4" s="4" t="inlineStr">
        <is>
          <t>M5
Jul</t>
        </is>
      </c>
      <c r="G4" s="4" t="inlineStr">
        <is>
          <t>M6
Aug</t>
        </is>
      </c>
      <c r="H4" s="4" t="inlineStr">
        <is>
          <t>M7
Sep</t>
        </is>
      </c>
      <c r="I4" s="4" t="inlineStr">
        <is>
          <t>M8
Oct</t>
        </is>
      </c>
      <c r="J4" s="4" t="inlineStr">
        <is>
          <t>M9
Nov</t>
        </is>
      </c>
      <c r="K4" s="4" t="inlineStr">
        <is>
          <t>M10
Dec</t>
        </is>
      </c>
      <c r="L4" s="4" t="inlineStr">
        <is>
          <t>M11
Jan</t>
        </is>
      </c>
      <c r="M4" s="4" t="inlineStr">
        <is>
          <t>M12
Feb</t>
        </is>
      </c>
      <c r="N4" s="4" t="inlineStr">
        <is>
          <t>H1
Tot</t>
        </is>
      </c>
      <c r="O4" s="4" t="inlineStr">
        <is>
          <t>Full Yr</t>
        </is>
      </c>
    </row>
    <row r="5">
      <c r="A5" s="4" t="inlineStr">
        <is>
          <t>PUREBRAIN.AI — MONTHLY</t>
        </is>
      </c>
    </row>
    <row r="6">
      <c r="A6" s="11" t="inlineStr">
        <is>
          <t>Customers (EOM)</t>
        </is>
      </c>
      <c r="B6" s="110" t="n">
        <v>500</v>
      </c>
      <c r="C6" s="110" t="n">
        <v>700</v>
      </c>
      <c r="D6" s="110" t="n">
        <v>900</v>
      </c>
      <c r="E6" s="110" t="n">
        <v>1100</v>
      </c>
      <c r="F6" s="110" t="n">
        <v>1300</v>
      </c>
      <c r="G6" s="110" t="n">
        <v>1500</v>
      </c>
      <c r="H6" s="110" t="n">
        <v>1800</v>
      </c>
      <c r="I6" s="110" t="n">
        <v>2100</v>
      </c>
      <c r="J6" s="110" t="n">
        <v>2400</v>
      </c>
      <c r="K6" s="110" t="n">
        <v>2700</v>
      </c>
      <c r="L6" s="110" t="n">
        <v>2800</v>
      </c>
      <c r="M6" s="110" t="n">
        <v>2900</v>
      </c>
      <c r="N6" s="111" t="n">
        <v>1500</v>
      </c>
      <c r="O6" s="112" t="n">
        <v>2900</v>
      </c>
    </row>
    <row r="7">
      <c r="A7" s="11" t="inlineStr">
        <is>
          <t>ARPU ($/mo)</t>
        </is>
      </c>
      <c r="B7" s="113" t="n">
        <v>149</v>
      </c>
      <c r="C7" s="113" t="n">
        <v>149</v>
      </c>
      <c r="D7" s="113" t="n">
        <v>310</v>
      </c>
      <c r="E7" s="113" t="n">
        <v>320</v>
      </c>
      <c r="F7" s="113" t="n">
        <v>330</v>
      </c>
      <c r="G7" s="113" t="n">
        <v>340</v>
      </c>
      <c r="H7" s="113" t="n">
        <v>350</v>
      </c>
      <c r="I7" s="113" t="n">
        <v>355</v>
      </c>
      <c r="J7" s="113" t="n">
        <v>360</v>
      </c>
      <c r="K7" s="113" t="n">
        <v>365</v>
      </c>
      <c r="L7" s="113" t="n">
        <v>370</v>
      </c>
      <c r="M7" s="113" t="n">
        <v>375</v>
      </c>
      <c r="N7" s="114" t="n">
        <v>149</v>
      </c>
      <c r="O7" s="115" t="n">
        <v>375</v>
      </c>
    </row>
    <row r="8">
      <c r="A8" s="11" t="inlineStr">
        <is>
          <t>Revenue ($000s)</t>
        </is>
      </c>
      <c r="B8" s="110" t="n">
        <v>74.5</v>
      </c>
      <c r="C8" s="110" t="n">
        <v>104.3</v>
      </c>
      <c r="D8" s="110" t="n">
        <v>279</v>
      </c>
      <c r="E8" s="110" t="n">
        <v>352</v>
      </c>
      <c r="F8" s="110" t="n">
        <v>429</v>
      </c>
      <c r="G8" s="110" t="n">
        <v>510</v>
      </c>
      <c r="H8" s="110" t="n">
        <v>630</v>
      </c>
      <c r="I8" s="110" t="n">
        <v>745.5</v>
      </c>
      <c r="J8" s="110" t="n">
        <v>864</v>
      </c>
      <c r="K8" s="110" t="n">
        <v>985.5</v>
      </c>
      <c r="L8" s="110" t="n">
        <v>1036</v>
      </c>
      <c r="M8" s="110" t="n">
        <v>1087.5</v>
      </c>
      <c r="N8" s="111" t="n">
        <v>1748.8</v>
      </c>
      <c r="O8" s="112" t="n">
        <v>7097.3</v>
      </c>
    </row>
    <row r="9">
      <c r="A9" s="11" t="inlineStr">
        <is>
          <t>COGS ($000s)</t>
        </is>
      </c>
      <c r="B9" s="116" t="n">
        <v>-7</v>
      </c>
      <c r="C9" s="116" t="n">
        <v>-9.800000000000001</v>
      </c>
      <c r="D9" s="116" t="n">
        <v>-12.6</v>
      </c>
      <c r="E9" s="116" t="n">
        <v>-15.4</v>
      </c>
      <c r="F9" s="116" t="n">
        <v>-18.2</v>
      </c>
      <c r="G9" s="116" t="n">
        <v>-21</v>
      </c>
      <c r="H9" s="116" t="n">
        <v>-25.2</v>
      </c>
      <c r="I9" s="116" t="n">
        <v>-29.4</v>
      </c>
      <c r="J9" s="116" t="n">
        <v>-33.6</v>
      </c>
      <c r="K9" s="116" t="n">
        <v>-37.8</v>
      </c>
      <c r="L9" s="116" t="n">
        <v>-39.2</v>
      </c>
      <c r="M9" s="116" t="n">
        <v>-40.6</v>
      </c>
      <c r="N9" s="111" t="n">
        <v>-84</v>
      </c>
      <c r="O9" s="112" t="n">
        <v>-289.8</v>
      </c>
    </row>
    <row r="10">
      <c r="A10" s="5" t="inlineStr">
        <is>
          <t>Gross Profit ($000s)</t>
        </is>
      </c>
      <c r="B10" s="117" t="n">
        <v>67.5</v>
      </c>
      <c r="C10" s="117" t="n">
        <v>94.5</v>
      </c>
      <c r="D10" s="117" t="n">
        <v>266.4</v>
      </c>
      <c r="E10" s="117" t="n">
        <v>336.6</v>
      </c>
      <c r="F10" s="117" t="n">
        <v>410.8</v>
      </c>
      <c r="G10" s="117" t="n">
        <v>489</v>
      </c>
      <c r="H10" s="117" t="n">
        <v>604.8</v>
      </c>
      <c r="I10" s="117" t="n">
        <v>716.1</v>
      </c>
      <c r="J10" s="117" t="n">
        <v>830.4</v>
      </c>
      <c r="K10" s="117" t="n">
        <v>947.7</v>
      </c>
      <c r="L10" s="117" t="n">
        <v>996.8</v>
      </c>
      <c r="M10" s="117" t="n">
        <v>1046.9</v>
      </c>
      <c r="N10" s="111" t="n">
        <v>1664.8</v>
      </c>
      <c r="O10" s="30" t="n">
        <v>6807.5</v>
      </c>
    </row>
    <row r="11">
      <c r="A11" s="2" t="inlineStr">
        <is>
          <t>PT CORE — MONTHLY (Starts Month 6)</t>
        </is>
      </c>
    </row>
    <row r="12">
      <c r="A12" s="11" t="inlineStr">
        <is>
          <t>Revenue ($000s)</t>
        </is>
      </c>
      <c r="B12" s="118" t="n">
        <v>0</v>
      </c>
      <c r="C12" s="118" t="n">
        <v>0</v>
      </c>
      <c r="D12" s="118" t="n">
        <v>0</v>
      </c>
      <c r="E12" s="118" t="n">
        <v>0</v>
      </c>
      <c r="F12" s="118" t="n">
        <v>0</v>
      </c>
      <c r="G12" s="118" t="n">
        <v>38500</v>
      </c>
      <c r="H12" s="118" t="n">
        <v>38500</v>
      </c>
      <c r="I12" s="118" t="n">
        <v>38500</v>
      </c>
      <c r="J12" s="118" t="n">
        <v>38500</v>
      </c>
      <c r="K12" s="118" t="n">
        <v>38500</v>
      </c>
      <c r="L12" s="118" t="n">
        <v>38500</v>
      </c>
      <c r="M12" s="118" t="n">
        <v>38500</v>
      </c>
      <c r="N12" s="111" t="n">
        <v>38500</v>
      </c>
      <c r="O12" s="112" t="n">
        <v>269500</v>
      </c>
    </row>
    <row r="13">
      <c r="A13" s="11" t="inlineStr">
        <is>
          <t>COGS ($000s)</t>
        </is>
      </c>
      <c r="B13" s="116" t="n">
        <v>-0</v>
      </c>
      <c r="C13" s="116" t="n">
        <v>-0</v>
      </c>
      <c r="D13" s="116" t="n">
        <v>-0</v>
      </c>
      <c r="E13" s="116" t="n">
        <v>-0</v>
      </c>
      <c r="F13" s="116" t="n">
        <v>-0</v>
      </c>
      <c r="G13" s="116" t="n">
        <v>-17325</v>
      </c>
      <c r="H13" s="116" t="n">
        <v>-17325</v>
      </c>
      <c r="I13" s="116" t="n">
        <v>-17325</v>
      </c>
      <c r="J13" s="116" t="n">
        <v>-17325</v>
      </c>
      <c r="K13" s="116" t="n">
        <v>-17325</v>
      </c>
      <c r="L13" s="116" t="n">
        <v>-17325</v>
      </c>
      <c r="M13" s="116" t="n">
        <v>-17325</v>
      </c>
      <c r="N13" s="111" t="n">
        <v>-17325</v>
      </c>
      <c r="O13" s="112" t="n">
        <v>-121275</v>
      </c>
    </row>
    <row r="14">
      <c r="A14" s="5" t="inlineStr">
        <is>
          <t>Gross Profit ($000s)</t>
        </is>
      </c>
      <c r="B14" s="117" t="n">
        <v>0</v>
      </c>
      <c r="C14" s="117" t="n">
        <v>0</v>
      </c>
      <c r="D14" s="117" t="n">
        <v>0</v>
      </c>
      <c r="E14" s="117" t="n">
        <v>0</v>
      </c>
      <c r="F14" s="117" t="n">
        <v>0</v>
      </c>
      <c r="G14" s="117" t="n">
        <v>21175</v>
      </c>
      <c r="H14" s="117" t="n">
        <v>21175</v>
      </c>
      <c r="I14" s="117" t="n">
        <v>21175</v>
      </c>
      <c r="J14" s="117" t="n">
        <v>21175</v>
      </c>
      <c r="K14" s="117" t="n">
        <v>21175</v>
      </c>
      <c r="L14" s="117" t="n">
        <v>21175</v>
      </c>
      <c r="M14" s="117" t="n">
        <v>21175</v>
      </c>
      <c r="N14" s="111" t="n">
        <v>21175</v>
      </c>
      <c r="O14" s="30" t="n">
        <v>148225</v>
      </c>
    </row>
    <row r="15">
      <c r="A15" s="119" t="inlineStr">
        <is>
          <t>PUREMARKETING — MONTHLY</t>
        </is>
      </c>
    </row>
    <row r="16">
      <c r="A16" s="11" t="inlineStr">
        <is>
          <t>Revenue ($000s)</t>
        </is>
      </c>
      <c r="B16" s="118" t="n">
        <v>150</v>
      </c>
      <c r="C16" s="118" t="n">
        <v>150</v>
      </c>
      <c r="D16" s="118" t="n">
        <v>150</v>
      </c>
      <c r="E16" s="118" t="n">
        <v>150</v>
      </c>
      <c r="F16" s="118" t="n">
        <v>150</v>
      </c>
      <c r="G16" s="118" t="n">
        <v>150</v>
      </c>
      <c r="H16" s="118" t="n">
        <v>150</v>
      </c>
      <c r="I16" s="118" t="n">
        <v>150</v>
      </c>
      <c r="J16" s="118" t="n">
        <v>150</v>
      </c>
      <c r="K16" s="118" t="n">
        <v>150</v>
      </c>
      <c r="L16" s="118" t="n">
        <v>150</v>
      </c>
      <c r="M16" s="118" t="n">
        <v>150</v>
      </c>
      <c r="N16" s="111" t="n">
        <v>900</v>
      </c>
      <c r="O16" s="112" t="n">
        <v>1800</v>
      </c>
    </row>
    <row r="17">
      <c r="A17" s="5" t="inlineStr">
        <is>
          <t>Gross Profit ($000s)</t>
        </is>
      </c>
      <c r="B17" s="117" t="n">
        <v>68</v>
      </c>
      <c r="C17" s="117" t="n">
        <v>68</v>
      </c>
      <c r="D17" s="117" t="n">
        <v>68</v>
      </c>
      <c r="E17" s="117" t="n">
        <v>68</v>
      </c>
      <c r="F17" s="117" t="n">
        <v>68</v>
      </c>
      <c r="G17" s="117" t="n">
        <v>68</v>
      </c>
      <c r="H17" s="117" t="n">
        <v>68</v>
      </c>
      <c r="I17" s="117" t="n">
        <v>68</v>
      </c>
      <c r="J17" s="117" t="n">
        <v>68</v>
      </c>
      <c r="K17" s="117" t="n">
        <v>68</v>
      </c>
      <c r="L17" s="117" t="n">
        <v>68</v>
      </c>
      <c r="M17" s="117" t="n">
        <v>68</v>
      </c>
      <c r="N17" s="111" t="n">
        <v>405</v>
      </c>
      <c r="O17" s="30" t="n">
        <v>810</v>
      </c>
    </row>
    <row r="18">
      <c r="A18" s="47" t="inlineStr">
        <is>
          <t>CONSOLIDATED — MONTHLY TOTALS</t>
        </is>
      </c>
    </row>
    <row r="19">
      <c r="A19" s="5" t="inlineStr">
        <is>
          <t>TOTAL REVENUE ($000s)</t>
        </is>
      </c>
      <c r="B19" s="117" t="n">
        <v>224</v>
      </c>
      <c r="C19" s="117" t="n">
        <v>254</v>
      </c>
      <c r="D19" s="117" t="n">
        <v>429</v>
      </c>
      <c r="E19" s="117" t="n">
        <v>502</v>
      </c>
      <c r="F19" s="117" t="n">
        <v>579</v>
      </c>
      <c r="G19" s="117" t="n">
        <v>39160</v>
      </c>
      <c r="H19" s="117" t="n">
        <v>39280</v>
      </c>
      <c r="I19" s="117" t="n">
        <v>39396</v>
      </c>
      <c r="J19" s="117" t="n">
        <v>39514</v>
      </c>
      <c r="K19" s="117" t="n">
        <v>39636</v>
      </c>
      <c r="L19" s="117" t="n">
        <v>39686</v>
      </c>
      <c r="M19" s="117" t="n">
        <v>39738</v>
      </c>
      <c r="N19" s="111" t="n">
        <v>41149</v>
      </c>
      <c r="O19" s="30" t="n">
        <v>278397</v>
      </c>
    </row>
    <row r="20">
      <c r="A20" s="5" t="inlineStr">
        <is>
          <t>TOTAL GROSS PROFIT</t>
        </is>
      </c>
      <c r="B20" s="117" t="n">
        <v>135</v>
      </c>
      <c r="C20" s="117" t="n">
        <v>162</v>
      </c>
      <c r="D20" s="117" t="n">
        <v>334</v>
      </c>
      <c r="E20" s="117" t="n">
        <v>404</v>
      </c>
      <c r="F20" s="117" t="n">
        <v>478</v>
      </c>
      <c r="G20" s="117" t="n">
        <v>21732</v>
      </c>
      <c r="H20" s="117" t="n">
        <v>21847</v>
      </c>
      <c r="I20" s="117" t="n">
        <v>21959</v>
      </c>
      <c r="J20" s="117" t="n">
        <v>22073</v>
      </c>
      <c r="K20" s="117" t="n">
        <v>22190</v>
      </c>
      <c r="L20" s="117" t="n">
        <v>22239</v>
      </c>
      <c r="M20" s="117" t="n">
        <v>22289</v>
      </c>
      <c r="N20" s="111" t="n">
        <v>23245</v>
      </c>
      <c r="O20" s="30" t="n">
        <v>155842</v>
      </c>
    </row>
    <row r="21">
      <c r="A21" s="11" t="inlineStr">
        <is>
          <t>BLENDED GROSS MARGIN %</t>
        </is>
      </c>
      <c r="B21" s="120" t="n">
        <v>0.601</v>
      </c>
      <c r="C21" s="120" t="n">
        <v>0.637</v>
      </c>
      <c r="D21" s="120" t="n">
        <v>0.778</v>
      </c>
      <c r="E21" s="120" t="n">
        <v>0.805</v>
      </c>
      <c r="F21" s="120" t="n">
        <v>0.826</v>
      </c>
      <c r="G21" s="120" t="n">
        <v>0.555</v>
      </c>
      <c r="H21" s="120" t="n">
        <v>0.556</v>
      </c>
      <c r="I21" s="120" t="n">
        <v>0.5570000000000001</v>
      </c>
      <c r="J21" s="120" t="n">
        <v>0.5590000000000001</v>
      </c>
      <c r="K21" s="120" t="n">
        <v>0.5600000000000001</v>
      </c>
      <c r="L21" s="120" t="n">
        <v>0.5600000000000001</v>
      </c>
      <c r="M21" s="120" t="n">
        <v>0.5610000000000001</v>
      </c>
      <c r="N21" s="121" t="n">
        <v>0.5649999999999999</v>
      </c>
      <c r="O21" s="122" t="n">
        <v>0.5600000000000001</v>
      </c>
    </row>
    <row r="23">
      <c r="A23" s="36" t="inlineStr">
        <is>
          <t>PT Core starts Month 6 (Aug 2026) which is why H1 company revenue is lower. PureBrain launches Month 1 with intro pricing ($149/$499/$999 vs normal $197/$579/$1,089). Intro pricing effect visible in Months 1-2 ARPU vs Month 3+ where standard pricing kicks in.</t>
        </is>
      </c>
    </row>
  </sheetData>
  <mergeCells count="7">
    <mergeCell ref="A15:O15"/>
    <mergeCell ref="A2:O2"/>
    <mergeCell ref="A11:O11"/>
    <mergeCell ref="A1:O1"/>
    <mergeCell ref="A5:O5"/>
    <mergeCell ref="A23:O23"/>
    <mergeCell ref="A18:O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2026-03-09T14:34:23Z</dcterms:created>
  <dcterms:modified xmlns:dcterms="http://purl.org/dc/terms/" xmlns:xsi="http://www.w3.org/2001/XMLSchema-instance" xsi:type="dcterms:W3CDTF">2026-03-09T14:34:23Z</dcterms:modified>
</cp:coreProperties>
</file>