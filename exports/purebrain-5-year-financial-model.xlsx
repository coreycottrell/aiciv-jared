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YEAR 1 MONTHLY" sheetId="3" state="visible" r:id="rId3"/>
    <sheet xmlns:r="http://schemas.openxmlformats.org/officeDocument/2006/relationships" name="YEARS 2-5 QUARTERLY" sheetId="4" state="visible" r:id="rId4"/>
    <sheet xmlns:r="http://schemas.openxmlformats.org/officeDocument/2006/relationships" name="P&amp;L STATEMENT" sheetId="5" state="visible" r:id="rId5"/>
    <sheet xmlns:r="http://schemas.openxmlformats.org/officeDocument/2006/relationships" name="UNIT ECONOMICS" sheetId="6" state="visible" r:id="rId6"/>
    <sheet xmlns:r="http://schemas.openxmlformats.org/officeDocument/2006/relationships" name="INVESTOR DASHBOARD" sheetId="7" state="visible" r:id="rId7"/>
    <sheet xmlns:r="http://schemas.openxmlformats.org/officeDocument/2006/relationships" name="SCENARIO ENGINE" sheetId="8" state="visible" r:id="rId8"/>
  </sheets>
  <definedNames>
    <definedName name="_xlnm.Print_Area" localSheetId="0">'HOW TO USE'!$A$1:$D$71</definedName>
  </definedNames>
  <calcPr calcId="12451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$#,##0"/>
    <numFmt numFmtId="166" formatCode="0.0&quot; mo&quot;"/>
    <numFmt numFmtId="167" formatCode="$#,##0.00"/>
    <numFmt numFmtId="168" formatCode="0.0&quot;x&quot;"/>
    <numFmt numFmtId="169" formatCode="$#,##0,,,&quot;B&quot;"/>
    <numFmt numFmtId="170" formatCode="0&quot;x&quot;"/>
    <numFmt numFmtId="171" formatCode="0.00&quot;x&quot;"/>
    <numFmt numFmtId="172" formatCode="+0.0%;-0.0%;0.0%"/>
  </numFmts>
  <fonts count="39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color rgb="001A1A2E"/>
      <sz val="10"/>
    </font>
    <font>
      <name val="Calibri"/>
      <color rgb="00666666"/>
      <sz val="10"/>
    </font>
    <font>
      <name val="Calibri"/>
      <color rgb="00C0392B"/>
      <sz val="10"/>
    </font>
    <font>
      <name val="Calibri"/>
      <color rgb="002E4A7A"/>
      <sz val="10"/>
    </font>
    <font>
      <name val="Calibri"/>
      <color rgb="001E7E34"/>
      <sz val="10"/>
    </font>
    <font>
      <name val="Calibri"/>
      <color rgb="00888888"/>
      <sz val="10"/>
    </font>
    <font>
      <name val="Calibri"/>
      <color rgb="00000000"/>
      <sz val="10"/>
    </font>
    <font>
      <name val="Calibri"/>
      <b val="1"/>
      <color rgb="00FFFFFF"/>
      <sz val="9"/>
    </font>
    <font>
      <name val="Calibri"/>
      <b val="1"/>
      <color rgb="001E7E34"/>
      <sz val="10"/>
    </font>
    <font>
      <name val="Calibri"/>
      <b val="1"/>
      <color rgb="001B2A4A"/>
      <sz val="10"/>
    </font>
    <font>
      <name val="Calibri"/>
      <color rgb="00555555"/>
      <sz val="10"/>
    </font>
    <font>
      <name val="Calibri"/>
      <b val="1"/>
      <color rgb="009A7B2F"/>
      <sz val="10"/>
    </font>
    <font>
      <name val="Calibri"/>
      <color rgb="001B2A4A"/>
      <sz val="10"/>
    </font>
    <font>
      <name val="Calibri"/>
      <color rgb="00333333"/>
      <sz val="10"/>
    </font>
    <font>
      <name val="Calibri"/>
      <color rgb="009A7B2F"/>
      <sz val="10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b val="1"/>
      <color rgb="00C0392B"/>
      <sz val="10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1B2A4A"/>
      <sz val="11"/>
    </font>
    <font>
      <name val="Calibri"/>
      <b val="1"/>
      <color rgb="001B2A4A"/>
      <sz val="12"/>
    </font>
    <font>
      <name val="Calibri"/>
      <b val="1"/>
      <color rgb="001E7E34"/>
      <sz val="9"/>
    </font>
    <font>
      <name val="Calibri"/>
      <b val="1"/>
      <color rgb="009A7B2F"/>
      <sz val="9"/>
    </font>
    <font>
      <name val="Calibri"/>
      <b val="1"/>
      <color rgb="00555555"/>
      <sz val="9"/>
    </font>
    <font>
      <name val="Calibri"/>
      <b val="1"/>
      <color rgb="00C0392B"/>
      <sz val="9"/>
    </font>
    <font>
      <name val="Calibri"/>
      <b val="1"/>
      <color rgb="00000000"/>
      <sz val="9"/>
    </font>
    <font>
      <b val="1"/>
      <color rgb="00FFFFFF"/>
      <sz val="14"/>
    </font>
    <font>
      <b val="1"/>
      <color rgb="001B2A4A"/>
      <sz val="13"/>
    </font>
    <font>
      <b val="1"/>
      <sz val="11"/>
    </font>
    <font>
      <sz val="11"/>
    </font>
    <font>
      <b val="1"/>
      <i val="1"/>
      <sz val="11"/>
    </font>
    <font>
      <name val="Consolas"/>
      <sz val="10"/>
    </font>
    <font>
      <i val="1"/>
      <color rgb="00666666"/>
      <sz val="10"/>
    </font>
  </fonts>
  <fills count="2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9A7B2F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2E4A7A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ADBD8"/>
      </patternFill>
    </fill>
    <fill>
      <patternFill patternType="solid">
        <fgColor rgb="00C9A84C"/>
      </patternFill>
    </fill>
    <fill>
      <patternFill patternType="solid">
        <fgColor rgb="00C0392B"/>
      </patternFill>
    </fill>
    <fill>
      <patternFill patternType="solid">
        <fgColor rgb="001E7E34"/>
      </patternFill>
    </fill>
    <fill>
      <patternFill patternType="solid">
        <fgColor rgb="001B2A4A"/>
        <bgColor rgb="001B2A4A"/>
      </patternFill>
    </fill>
    <fill>
      <patternFill patternType="solid">
        <fgColor rgb="00D6EAF8"/>
        <bgColor rgb="00D6EAF8"/>
      </patternFill>
    </fill>
    <fill>
      <patternFill patternType="solid">
        <fgColor rgb="00E8F5E9"/>
        <bgColor rgb="00E8F5E9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 indent="1"/>
    </xf>
    <xf numFmtId="0" fontId="5" fillId="5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 indent="1"/>
    </xf>
    <xf numFmtId="0" fontId="0" fillId="0" borderId="5" pivotButton="0" quotePrefix="0" xfId="0"/>
    <xf numFmtId="0" fontId="7" fillId="4" borderId="2" applyAlignment="1" pivotButton="0" quotePrefix="0" xfId="0">
      <alignment horizontal="left" vertical="center" indent="1"/>
    </xf>
    <xf numFmtId="0" fontId="8" fillId="4" borderId="2" applyAlignment="1" pivotButton="0" quotePrefix="0" xfId="0">
      <alignment horizontal="left" vertical="center" indent="1"/>
    </xf>
    <xf numFmtId="0" fontId="9" fillId="4" borderId="2" applyAlignment="1" pivotButton="0" quotePrefix="0" xfId="0">
      <alignment horizontal="left" vertical="center" indent="1"/>
    </xf>
    <xf numFmtId="0" fontId="10" fillId="6" borderId="2" applyAlignment="1" pivotButton="0" quotePrefix="0" xfId="0">
      <alignment horizontal="left" vertical="center" indent="1"/>
    </xf>
    <xf numFmtId="164" fontId="11" fillId="7" borderId="2" applyAlignment="1" pivotButton="0" quotePrefix="0" xfId="0">
      <alignment horizontal="right" vertical="center"/>
    </xf>
    <xf numFmtId="0" fontId="0" fillId="0" borderId="6" pivotButton="0" quotePrefix="0" xfId="0"/>
    <xf numFmtId="0" fontId="3" fillId="2" borderId="1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left" vertical="center" indent="1"/>
    </xf>
    <xf numFmtId="165" fontId="5" fillId="5" borderId="2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  <xf numFmtId="10" fontId="5" fillId="5" borderId="2" applyAlignment="1" pivotButton="0" quotePrefix="0" xfId="0">
      <alignment horizontal="right" vertical="center"/>
    </xf>
    <xf numFmtId="166" fontId="11" fillId="10" borderId="2" applyAlignment="1" pivotButton="0" quotePrefix="0" xfId="0">
      <alignment horizontal="right" vertical="center"/>
    </xf>
    <xf numFmtId="166" fontId="11" fillId="6" borderId="2" applyAlignment="1" pivotButton="0" quotePrefix="0" xfId="0">
      <alignment horizontal="right" vertical="center"/>
    </xf>
    <xf numFmtId="165" fontId="11" fillId="10" borderId="2" applyAlignment="1" pivotButton="0" quotePrefix="0" xfId="0">
      <alignment horizontal="right" vertical="center"/>
    </xf>
    <xf numFmtId="165" fontId="11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left" vertical="center" indent="1"/>
    </xf>
    <xf numFmtId="164" fontId="4" fillId="11" borderId="2" applyAlignment="1" pivotButton="0" quotePrefix="0" xfId="0">
      <alignment horizontal="right" vertical="center"/>
    </xf>
    <xf numFmtId="0" fontId="13" fillId="11" borderId="2" applyAlignment="1" pivotButton="0" quotePrefix="0" xfId="0">
      <alignment horizontal="right" vertical="center"/>
    </xf>
    <xf numFmtId="3" fontId="5" fillId="5" borderId="2" applyAlignment="1" pivotButton="0" quotePrefix="0" xfId="0">
      <alignment horizontal="right" vertical="center"/>
    </xf>
    <xf numFmtId="0" fontId="3" fillId="8" borderId="1" applyAlignment="1" pivotButton="0" quotePrefix="0" xfId="0">
      <alignment horizontal="center" vertical="center"/>
    </xf>
    <xf numFmtId="0" fontId="4" fillId="12" borderId="2" applyAlignment="1" pivotButton="0" quotePrefix="0" xfId="0">
      <alignment horizontal="left" vertical="center" indent="1"/>
    </xf>
    <xf numFmtId="167" fontId="14" fillId="12" borderId="2" applyAlignment="1" pivotButton="0" quotePrefix="0" xfId="0">
      <alignment horizontal="right" vertical="center"/>
    </xf>
    <xf numFmtId="0" fontId="15" fillId="12" borderId="2" applyAlignment="1" pivotButton="0" quotePrefix="0" xfId="0">
      <alignment horizontal="left" vertical="center" indent="1"/>
    </xf>
    <xf numFmtId="165" fontId="4" fillId="10" borderId="2" applyAlignment="1" pivotButton="0" quotePrefix="0" xfId="0">
      <alignment horizontal="right" vertical="center"/>
    </xf>
    <xf numFmtId="167" fontId="11" fillId="10" borderId="2" applyAlignment="1" pivotButton="0" quotePrefix="0" xfId="0">
      <alignment horizontal="right" vertical="center"/>
    </xf>
    <xf numFmtId="167" fontId="5" fillId="5" borderId="2" applyAlignment="1" pivotButton="0" quotePrefix="0" xfId="0">
      <alignment horizontal="right" vertical="center"/>
    </xf>
    <xf numFmtId="164" fontId="11" fillId="10" borderId="2" applyAlignment="1" pivotButton="0" quotePrefix="0" xfId="0">
      <alignment horizontal="right" vertical="center"/>
    </xf>
    <xf numFmtId="0" fontId="15" fillId="6" borderId="2" applyAlignment="1" pivotButton="0" quotePrefix="0" xfId="0">
      <alignment horizontal="left" vertical="center" indent="1"/>
    </xf>
    <xf numFmtId="3" fontId="4" fillId="12" borderId="2" applyAlignment="1" pivotButton="0" quotePrefix="0" xfId="0">
      <alignment horizontal="right" vertical="center"/>
    </xf>
    <xf numFmtId="0" fontId="11" fillId="10" borderId="2" applyAlignment="1" pivotButton="0" quotePrefix="0" xfId="0">
      <alignment horizontal="right" vertical="center"/>
    </xf>
    <xf numFmtId="0" fontId="16" fillId="4" borderId="2" applyAlignment="1" pivotButton="0" quotePrefix="0" xfId="0">
      <alignment horizontal="left" vertical="center" indent="1"/>
    </xf>
    <xf numFmtId="0" fontId="17" fillId="5" borderId="2" applyAlignment="1" pivotButton="0" quotePrefix="0" xfId="0">
      <alignment horizontal="left" vertical="center" indent="1"/>
    </xf>
    <xf numFmtId="0" fontId="18" fillId="10" borderId="2" applyAlignment="1" pivotButton="0" quotePrefix="0" xfId="0">
      <alignment horizontal="left" vertical="center" indent="1"/>
    </xf>
    <xf numFmtId="0" fontId="19" fillId="4" borderId="2" applyAlignment="1" pivotButton="0" quotePrefix="0" xfId="0">
      <alignment horizontal="left" vertical="center" indent="1"/>
    </xf>
    <xf numFmtId="0" fontId="20" fillId="2" borderId="1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/>
    </xf>
    <xf numFmtId="3" fontId="11" fillId="10" borderId="2" applyAlignment="1" pivotButton="0" quotePrefix="0" xfId="0">
      <alignment horizontal="right" vertical="center"/>
    </xf>
    <xf numFmtId="3" fontId="4" fillId="10" borderId="2" applyAlignment="1" pivotButton="0" quotePrefix="0" xfId="0">
      <alignment horizontal="right" vertical="center"/>
    </xf>
    <xf numFmtId="165" fontId="4" fillId="12" borderId="2" applyAlignment="1" pivotButton="0" quotePrefix="0" xfId="0">
      <alignment horizontal="right" vertical="center"/>
    </xf>
    <xf numFmtId="0" fontId="4" fillId="11" borderId="2" applyAlignment="1" pivotButton="0" quotePrefix="0" xfId="0">
      <alignment horizontal="left" vertical="center" indent="1"/>
    </xf>
    <xf numFmtId="165" fontId="4" fillId="11" borderId="2" applyAlignment="1" pivotButton="0" quotePrefix="0" xfId="0">
      <alignment horizontal="right" vertical="center"/>
    </xf>
    <xf numFmtId="0" fontId="4" fillId="13" borderId="2" applyAlignment="1" pivotButton="0" quotePrefix="0" xfId="0">
      <alignment horizontal="left" vertical="center" indent="1"/>
    </xf>
    <xf numFmtId="165" fontId="22" fillId="13" borderId="2" applyAlignment="1" pivotButton="0" quotePrefix="0" xfId="0">
      <alignment horizontal="right" vertical="center"/>
    </xf>
    <xf numFmtId="164" fontId="4" fillId="10" borderId="2" applyAlignment="1" pivotButton="0" quotePrefix="0" xfId="0">
      <alignment horizontal="right" vertical="center"/>
    </xf>
    <xf numFmtId="3" fontId="4" fillId="9" borderId="2" applyAlignment="1" pivotButton="0" quotePrefix="0" xfId="0">
      <alignment horizontal="right" vertical="center"/>
    </xf>
    <xf numFmtId="0" fontId="11" fillId="9" borderId="2" applyAlignment="1" pivotButton="0" quotePrefix="0" xfId="0">
      <alignment horizontal="left" vertical="center" indent="1"/>
    </xf>
    <xf numFmtId="165" fontId="11" fillId="9" borderId="2" applyAlignment="1" pivotButton="0" quotePrefix="0" xfId="0">
      <alignment horizontal="right" vertical="center"/>
    </xf>
    <xf numFmtId="165" fontId="4" fillId="9" borderId="2" applyAlignment="1" pivotButton="0" quotePrefix="0" xfId="0">
      <alignment horizontal="right" vertical="center"/>
    </xf>
    <xf numFmtId="164" fontId="11" fillId="9" borderId="2" applyAlignment="1" pivotButton="0" quotePrefix="0" xfId="0">
      <alignment horizontal="right" vertical="center"/>
    </xf>
    <xf numFmtId="164" fontId="4" fillId="9" borderId="2" applyAlignment="1" pivotButton="0" quotePrefix="0" xfId="0">
      <alignment horizontal="right" vertical="center"/>
    </xf>
    <xf numFmtId="167" fontId="11" fillId="9" borderId="2" applyAlignment="1" pivotButton="0" quotePrefix="0" xfId="0">
      <alignment horizontal="right" vertical="center"/>
    </xf>
    <xf numFmtId="167" fontId="4" fillId="9" borderId="2" applyAlignment="1" pivotButton="0" quotePrefix="0" xfId="0">
      <alignment horizontal="right" vertical="center"/>
    </xf>
    <xf numFmtId="168" fontId="11" fillId="9" borderId="2" applyAlignment="1" pivotButton="0" quotePrefix="0" xfId="0">
      <alignment horizontal="right" vertical="center"/>
    </xf>
    <xf numFmtId="168" fontId="4" fillId="9" borderId="2" applyAlignment="1" pivotButton="0" quotePrefix="0" xfId="0">
      <alignment horizontal="right" vertical="center"/>
    </xf>
    <xf numFmtId="0" fontId="21" fillId="3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indent="2"/>
    </xf>
    <xf numFmtId="165" fontId="4" fillId="7" borderId="2" applyAlignment="1" pivotButton="0" quotePrefix="0" xfId="0">
      <alignment horizontal="right" vertical="center"/>
    </xf>
    <xf numFmtId="0" fontId="22" fillId="13" borderId="2" applyAlignment="1" pivotButton="0" quotePrefix="0" xfId="0">
      <alignment horizontal="left" vertical="center" indent="1"/>
    </xf>
    <xf numFmtId="0" fontId="13" fillId="11" borderId="2" applyAlignment="1" pivotButton="0" quotePrefix="0" xfId="0">
      <alignment horizontal="left" vertical="center" indent="1"/>
    </xf>
    <xf numFmtId="165" fontId="13" fillId="11" borderId="2" applyAlignment="1" pivotButton="0" quotePrefix="0" xfId="0">
      <alignment horizontal="right" vertical="center"/>
    </xf>
    <xf numFmtId="164" fontId="13" fillId="11" borderId="2" applyAlignment="1" pivotButton="0" quotePrefix="0" xfId="0">
      <alignment horizontal="right" vertical="center"/>
    </xf>
    <xf numFmtId="169" fontId="4" fillId="12" borderId="2" applyAlignment="1" pivotButton="0" quotePrefix="0" xfId="0">
      <alignment horizontal="right" vertical="center"/>
    </xf>
    <xf numFmtId="169" fontId="4" fillId="11" borderId="2" applyAlignment="1" pivotButton="0" quotePrefix="0" xfId="0">
      <alignment horizontal="right" vertical="center"/>
    </xf>
    <xf numFmtId="167" fontId="4" fillId="12" borderId="2" applyAlignment="1" pivotButton="0" quotePrefix="0" xfId="0">
      <alignment horizontal="right" vertical="center"/>
    </xf>
    <xf numFmtId="166" fontId="4" fillId="9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170" fontId="13" fillId="11" borderId="2" applyAlignment="1" pivotButton="0" quotePrefix="0" xfId="0">
      <alignment horizontal="right" vertical="center"/>
    </xf>
    <xf numFmtId="10" fontId="11" fillId="9" borderId="2" applyAlignment="1" pivotButton="0" quotePrefix="0" xfId="0">
      <alignment horizontal="right" vertical="center"/>
    </xf>
    <xf numFmtId="10" fontId="22" fillId="13" borderId="2" applyAlignment="1" pivotButton="0" quotePrefix="0" xfId="0">
      <alignment horizontal="right" vertical="center"/>
    </xf>
    <xf numFmtId="0" fontId="13" fillId="4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24" fillId="0" borderId="0" pivotButton="0" quotePrefix="0" xfId="0"/>
    <xf numFmtId="0" fontId="25" fillId="14" borderId="1" applyAlignment="1" pivotButton="0" quotePrefix="0" xfId="0">
      <alignment horizontal="center" vertical="center"/>
    </xf>
    <xf numFmtId="0" fontId="18" fillId="6" borderId="2" applyAlignment="1" pivotButton="0" quotePrefix="0" xfId="0">
      <alignment horizontal="left" vertical="center" indent="1"/>
    </xf>
    <xf numFmtId="0" fontId="26" fillId="12" borderId="2" applyAlignment="1" pivotButton="0" quotePrefix="0" xfId="0">
      <alignment horizontal="center" vertical="center"/>
    </xf>
    <xf numFmtId="168" fontId="4" fillId="11" borderId="2" applyAlignment="1" pivotButton="0" quotePrefix="0" xfId="0">
      <alignment horizontal="right" vertical="center"/>
    </xf>
    <xf numFmtId="0" fontId="25" fillId="3" borderId="1" applyAlignment="1" pivotButton="0" quotePrefix="0" xfId="0">
      <alignment horizontal="center" vertical="center"/>
    </xf>
    <xf numFmtId="0" fontId="7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9" fillId="11" borderId="2" applyAlignment="1" pivotButton="0" quotePrefix="0" xfId="0">
      <alignment horizontal="center" vertical="center"/>
    </xf>
    <xf numFmtId="0" fontId="27" fillId="11" borderId="2" applyAlignment="1" pivotButton="0" quotePrefix="0" xfId="0">
      <alignment horizontal="center" vertical="center"/>
    </xf>
    <xf numFmtId="0" fontId="28" fillId="4" borderId="2" applyAlignment="1" pivotButton="0" quotePrefix="0" xfId="0">
      <alignment horizontal="center" vertical="center"/>
    </xf>
    <xf numFmtId="0" fontId="29" fillId="7" borderId="2" applyAlignment="1" pivotButton="0" quotePrefix="0" xfId="0">
      <alignment horizontal="center" vertical="center"/>
    </xf>
    <xf numFmtId="0" fontId="30" fillId="13" borderId="2" applyAlignment="1" pivotButton="0" quotePrefix="0" xfId="0">
      <alignment horizontal="center" vertical="center"/>
    </xf>
    <xf numFmtId="165" fontId="11" fillId="12" borderId="2" applyAlignment="1" pivotButton="0" quotePrefix="0" xfId="0">
      <alignment horizontal="right" vertical="center"/>
    </xf>
    <xf numFmtId="165" fontId="7" fillId="10" borderId="2" applyAlignment="1" pivotButton="0" quotePrefix="0" xfId="0">
      <alignment horizontal="right" vertical="center"/>
    </xf>
    <xf numFmtId="166" fontId="11" fillId="4" borderId="2" applyAlignment="1" pivotButton="0" quotePrefix="0" xfId="0">
      <alignment horizontal="right" vertical="center"/>
    </xf>
    <xf numFmtId="166" fontId="11" fillId="13" borderId="2" applyAlignment="1" pivotButton="0" quotePrefix="0" xfId="0">
      <alignment horizontal="right" vertical="center"/>
    </xf>
    <xf numFmtId="166" fontId="11" fillId="11" borderId="2" applyAlignment="1" pivotButton="0" quotePrefix="0" xfId="0">
      <alignment horizontal="right" vertical="center"/>
    </xf>
    <xf numFmtId="0" fontId="12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171" fontId="22" fillId="13" borderId="2" applyAlignment="1" pivotButton="0" quotePrefix="0" xfId="0">
      <alignment horizontal="right" vertical="center"/>
    </xf>
    <xf numFmtId="171" fontId="14" fillId="12" borderId="2" applyAlignment="1" pivotButton="0" quotePrefix="0" xfId="0">
      <alignment horizontal="right" vertical="center"/>
    </xf>
    <xf numFmtId="171" fontId="13" fillId="11" borderId="2" applyAlignment="1" pivotButton="0" quotePrefix="0" xfId="0">
      <alignment horizontal="right" vertical="center"/>
    </xf>
    <xf numFmtId="172" fontId="7" fillId="13" borderId="2" applyAlignment="1" pivotButton="0" quotePrefix="0" xfId="0">
      <alignment horizontal="right" vertical="center"/>
    </xf>
    <xf numFmtId="172" fontId="9" fillId="11" borderId="2" applyAlignment="1" pivotButton="0" quotePrefix="0" xfId="0">
      <alignment horizontal="right" vertical="center"/>
    </xf>
    <xf numFmtId="3" fontId="7" fillId="13" borderId="2" applyAlignment="1" pivotButton="0" quotePrefix="0" xfId="0">
      <alignment horizontal="right" vertical="center"/>
    </xf>
    <xf numFmtId="3" fontId="14" fillId="12" borderId="2" applyAlignment="1" pivotButton="0" quotePrefix="0" xfId="0">
      <alignment horizontal="right" vertical="center"/>
    </xf>
    <xf numFmtId="3" fontId="9" fillId="11" borderId="2" applyAlignment="1" pivotButton="0" quotePrefix="0" xfId="0">
      <alignment horizontal="right" vertical="center"/>
    </xf>
    <xf numFmtId="164" fontId="7" fillId="13" borderId="2" applyAlignment="1" pivotButton="0" quotePrefix="0" xfId="0">
      <alignment horizontal="right" vertical="center"/>
    </xf>
    <xf numFmtId="164" fontId="14" fillId="12" borderId="2" applyAlignment="1" pivotButton="0" quotePrefix="0" xfId="0">
      <alignment horizontal="right" vertical="center"/>
    </xf>
    <xf numFmtId="164" fontId="9" fillId="11" borderId="2" applyAlignment="1" pivotButton="0" quotePrefix="0" xfId="0">
      <alignment horizontal="right" vertical="center"/>
    </xf>
    <xf numFmtId="2" fontId="7" fillId="13" borderId="2" applyAlignment="1" pivotButton="0" quotePrefix="0" xfId="0">
      <alignment horizontal="right" vertical="center"/>
    </xf>
    <xf numFmtId="2" fontId="14" fillId="12" borderId="2" applyAlignment="1" pivotButton="0" quotePrefix="0" xfId="0">
      <alignment horizontal="right" vertical="center"/>
    </xf>
    <xf numFmtId="2" fontId="9" fillId="11" borderId="2" applyAlignment="1" pivotButton="0" quotePrefix="0" xfId="0">
      <alignment horizontal="right" vertical="center"/>
    </xf>
    <xf numFmtId="165" fontId="7" fillId="13" borderId="2" applyAlignment="1" pivotButton="0" quotePrefix="0" xfId="0">
      <alignment horizontal="right" vertical="center"/>
    </xf>
    <xf numFmtId="165" fontId="14" fillId="12" borderId="2" applyAlignment="1" pivotButton="0" quotePrefix="0" xfId="0">
      <alignment horizontal="right" vertical="center"/>
    </xf>
    <xf numFmtId="165" fontId="9" fillId="11" borderId="2" applyAlignment="1" pivotButton="0" quotePrefix="0" xfId="0">
      <alignment horizontal="right" vertical="center"/>
    </xf>
    <xf numFmtId="3" fontId="22" fillId="13" borderId="2" applyAlignment="1" pivotButton="0" quotePrefix="0" xfId="0">
      <alignment horizontal="right" vertical="center"/>
    </xf>
    <xf numFmtId="3" fontId="13" fillId="11" borderId="2" applyAlignment="1" pivotButton="0" quotePrefix="0" xfId="0">
      <alignment horizontal="right" vertical="center"/>
    </xf>
    <xf numFmtId="49" fontId="22" fillId="13" borderId="2" applyAlignment="1" pivotButton="0" quotePrefix="0" xfId="0">
      <alignment horizontal="right" vertical="center"/>
    </xf>
    <xf numFmtId="49" fontId="14" fillId="12" borderId="2" applyAlignment="1" pivotButton="0" quotePrefix="0" xfId="0">
      <alignment horizontal="right" vertical="center"/>
    </xf>
    <xf numFmtId="49" fontId="13" fillId="11" borderId="2" applyAlignment="1" pivotButton="0" quotePrefix="0" xfId="0">
      <alignment horizontal="right" vertical="center"/>
    </xf>
    <xf numFmtId="0" fontId="12" fillId="2" borderId="2" applyAlignment="1" pivotButton="0" quotePrefix="0" xfId="0">
      <alignment horizontal="center" vertical="center"/>
    </xf>
    <xf numFmtId="165" fontId="11" fillId="4" borderId="2" applyAlignment="1" pivotButton="0" quotePrefix="0" xfId="0">
      <alignment horizontal="right" vertical="center"/>
    </xf>
    <xf numFmtId="165" fontId="11" fillId="13" borderId="2" applyAlignment="1" pivotButton="0" quotePrefix="0" xfId="0">
      <alignment horizontal="right" vertical="center"/>
    </xf>
    <xf numFmtId="165" fontId="11" fillId="11" borderId="2" applyAlignment="1" pivotButton="0" quotePrefix="0" xfId="0">
      <alignment horizontal="right" vertical="center"/>
    </xf>
    <xf numFmtId="0" fontId="32" fillId="17" borderId="0" applyAlignment="1" pivotButton="0" quotePrefix="0" xfId="0">
      <alignment horizontal="center" vertical="center"/>
    </xf>
    <xf numFmtId="0" fontId="33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0" borderId="0" pivotButton="0" quotePrefix="0" xfId="0"/>
    <xf numFmtId="0" fontId="34" fillId="0" borderId="11" pivotButton="0" quotePrefix="0" xfId="0"/>
    <xf numFmtId="0" fontId="35" fillId="0" borderId="11" pivotButton="0" quotePrefix="0" xfId="0"/>
    <xf numFmtId="0" fontId="34" fillId="18" borderId="11" pivotButton="0" quotePrefix="0" xfId="0"/>
    <xf numFmtId="0" fontId="34" fillId="19" borderId="11" pivotButton="0" quotePrefix="0" xfId="0"/>
    <xf numFmtId="0" fontId="34" fillId="20" borderId="11" pivotButton="0" quotePrefix="0" xfId="0"/>
    <xf numFmtId="0" fontId="34" fillId="21" borderId="11" pivotButton="0" quotePrefix="0" xfId="0"/>
    <xf numFmtId="0" fontId="34" fillId="22" borderId="11" pivotButton="0" quotePrefix="0" xfId="0"/>
    <xf numFmtId="0" fontId="37" fillId="0" borderId="11" pivotButton="0" quotePrefix="0" xfId="0"/>
    <xf numFmtId="0" fontId="38" fillId="0" borderId="0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A1:D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55" customWidth="1" min="3" max="3"/>
    <col width="4" customWidth="1" min="4" max="4"/>
  </cols>
  <sheetData>
    <row r="1" ht="40" customHeight="1">
      <c r="A1" s="129" t="inlineStr">
        <is>
          <t>PUREBRAIN 5-YEAR FINANCIAL MODEL — USER GUIDE</t>
        </is>
      </c>
    </row>
    <row r="3">
      <c r="B3" s="130" t="inlineStr">
        <is>
          <t>QUICK START (2 minutes)</t>
        </is>
      </c>
    </row>
    <row r="4">
      <c r="B4" s="131" t="inlineStr">
        <is>
          <t>Step 1</t>
        </is>
      </c>
      <c r="C4" s="132" t="inlineStr">
        <is>
          <t>Go to ASSUMPTIONS sheet → Cell B5 (gold cell)</t>
        </is>
      </c>
    </row>
    <row r="5">
      <c r="B5" s="131" t="inlineStr">
        <is>
          <t>Step 2</t>
        </is>
      </c>
      <c r="C5" s="132" t="inlineStr">
        <is>
          <t>Type 1 for Bear, 2 for Base, or 3 for Bull scenario</t>
        </is>
      </c>
    </row>
    <row r="6">
      <c r="B6" s="131" t="inlineStr">
        <is>
          <t>Step 3</t>
        </is>
      </c>
      <c r="C6" s="132" t="inlineStr">
        <is>
          <t>Every sheet auto-updates. Check INVESTOR DASHBOARD for summary.</t>
        </is>
      </c>
    </row>
    <row r="7">
      <c r="B7" s="133" t="inlineStr">
        <is>
          <t>That's it.</t>
        </is>
      </c>
      <c r="C7" s="132" t="inlineStr">
        <is>
          <t>Change any blue cell on ASSUMPTIONS → all 7 sheets recalculate.</t>
        </is>
      </c>
    </row>
    <row r="9">
      <c r="B9" s="130" t="inlineStr">
        <is>
          <t>SHEET-BY-SHEET GUIDE</t>
        </is>
      </c>
    </row>
    <row r="10">
      <c r="B10" s="134" t="inlineStr">
        <is>
          <t>HOW TO USE (this sheet)</t>
        </is>
      </c>
      <c r="C10" s="135" t="inlineStr">
        <is>
          <t>You are here. Instructions and reference.</t>
        </is>
      </c>
    </row>
    <row r="11">
      <c r="B11" s="136" t="inlineStr">
        <is>
          <t>ASSUMPTIONS</t>
        </is>
      </c>
      <c r="C11" s="135" t="inlineStr">
        <is>
          <t>The CONTROL PANEL. Every editable input lives here.</t>
        </is>
      </c>
    </row>
    <row r="12">
      <c r="B12" s="134" t="inlineStr">
        <is>
          <t>YEAR 1 MONTHLY</t>
        </is>
      </c>
      <c r="C12" s="135" t="inlineStr">
        <is>
          <t>Month-by-month P&amp;L: Mar 2026 → Feb 2027</t>
        </is>
      </c>
    </row>
    <row r="13">
      <c r="B13" s="134" t="inlineStr">
        <is>
          <t>YEARS 2-5 QUARTERLY</t>
        </is>
      </c>
      <c r="C13" s="135" t="inlineStr">
        <is>
          <t>Quarterly projections: Q1 2027 → Q4 2030</t>
        </is>
      </c>
    </row>
    <row r="14">
      <c r="B14" s="134" t="inlineStr">
        <is>
          <t>P&amp;L STATEMENT</t>
        </is>
      </c>
      <c r="C14" s="135" t="inlineStr">
        <is>
          <t>GAAP-format income statement (annual summary)</t>
        </is>
      </c>
    </row>
    <row r="15">
      <c r="B15" s="134" t="inlineStr">
        <is>
          <t>UNIT ECONOMICS</t>
        </is>
      </c>
      <c r="C15" s="135" t="inlineStr">
        <is>
          <t>LTV, CAC, churn, payback, NRR by tier</t>
        </is>
      </c>
    </row>
    <row r="16">
      <c r="B16" s="137" t="inlineStr">
        <is>
          <t>INVESTOR DASHBOARD</t>
        </is>
      </c>
      <c r="C16" s="135" t="inlineStr">
        <is>
          <t>Executive KPI scorecard — the sheet investors see first</t>
        </is>
      </c>
    </row>
    <row r="17">
      <c r="B17" s="134" t="inlineStr">
        <is>
          <t>SCENARIO ENGINE</t>
        </is>
      </c>
      <c r="C17" s="135" t="inlineStr">
        <is>
          <t>Bull/Base/Bear side-by-side + sensitivity analysis</t>
        </is>
      </c>
    </row>
    <row r="19">
      <c r="B19" s="130" t="inlineStr">
        <is>
          <t>HOW TO RUN SCENARIOS</t>
        </is>
      </c>
    </row>
    <row r="20">
      <c r="B20" s="138" t="inlineStr">
        <is>
          <t>Scenario Toggle (fastest)</t>
        </is>
      </c>
      <c r="C20" s="135" t="inlineStr">
        <is>
          <t>ASSUMPTIONS → B5. Type 1 (Bear), 2 (Base), or 3 (Bull). Entire model recalculates instantly.</t>
        </is>
      </c>
    </row>
    <row r="21">
      <c r="B21" s="139" t="inlineStr">
        <is>
          <t>What changes per scenario</t>
        </is>
      </c>
      <c r="C21" s="135" t="inlineStr">
        <is>
          <t>Growth multiplier (B6 auto-calculates), monthly sign-up targets (rows 63-74 switch columns), and all downstream MRR/revenue/EBITDA.</t>
        </is>
      </c>
    </row>
    <row r="22">
      <c r="B22" s="139" t="inlineStr">
        <is>
          <t>Bear = Conservative</t>
        </is>
      </c>
      <c r="C22" s="135" t="inlineStr">
        <is>
          <t>50% slower growth, 6% churn. Dec 2026 MRR: ~$48M. $1B MRR by Q4 2029.</t>
        </is>
      </c>
    </row>
    <row r="23">
      <c r="B23" s="139" t="inlineStr">
        <is>
          <t>Base = As Modeled</t>
        </is>
      </c>
      <c r="C23" s="135" t="inlineStr">
        <is>
          <t>Growth rates as planned, 3.5% churn. Dec 2026 MRR: ~$128M. $1B MRR by Q2 2028.</t>
        </is>
      </c>
    </row>
    <row r="24">
      <c r="B24" s="139" t="inlineStr">
        <is>
          <t>Bull = Aggressive</t>
        </is>
      </c>
      <c r="C24" s="135" t="inlineStr">
        <is>
          <t>30% faster growth, 3% churn, higher ARPU. Dec 2026 MRR: ~$285M. $1B MRR by Q4 2027.</t>
        </is>
      </c>
    </row>
    <row r="25">
      <c r="B25" s="139" t="inlineStr">
        <is>
          <t>Custom Scenarios</t>
        </is>
      </c>
      <c r="C25" s="135" t="inlineStr">
        <is>
          <t>Override ANY blue cell on ASSUMPTIONS: pricing, churn %, tier mix, headcount, compute costs, marketing %, CAC. Model recalculates.</t>
        </is>
      </c>
    </row>
    <row r="26">
      <c r="B26" s="139" t="inlineStr">
        <is>
          <t>Side-by-Side Comparison</t>
        </is>
      </c>
      <c r="C26" s="135" t="inlineStr">
        <is>
          <t>SCENARIO ENGINE sheet shows all 3 scenarios with delta columns showing the dollar difference.</t>
        </is>
      </c>
    </row>
    <row r="27">
      <c r="B27" s="139" t="inlineStr">
        <is>
          <t>Sensitivity Table</t>
        </is>
      </c>
      <c r="C27" s="135" t="inlineStr">
        <is>
          <t>SCENARIO ENGINE rows 25-35: matrix showing Dec 2026 MRR at different churn × growth combinations.</t>
        </is>
      </c>
    </row>
    <row r="28">
      <c r="B28" s="139" t="inlineStr">
        <is>
          <t>Tornado Chart Data</t>
        </is>
      </c>
      <c r="C28" s="135" t="inlineStr">
        <is>
          <t>SCENARIO ENGINE rows 38+: ranks the top 6 revenue drivers by impact magnitude.</t>
        </is>
      </c>
    </row>
    <row r="30">
      <c r="B30" s="130" t="inlineStr">
        <is>
          <t>WHAT CAN I CHANGE?</t>
        </is>
      </c>
    </row>
    <row r="31">
      <c r="B31" s="136" t="inlineStr">
        <is>
          <t>Tier Pricing → B10-B12</t>
        </is>
      </c>
      <c r="C31" s="135" t="inlineStr">
        <is>
          <t>Awakened $197, Partnered $579, Unified $1,089</t>
        </is>
      </c>
    </row>
    <row r="32">
      <c r="B32" s="136" t="inlineStr">
        <is>
          <t>Tier Mix % → C10-C12</t>
        </is>
      </c>
      <c r="C32" s="135" t="inlineStr">
        <is>
          <t>72% / 20% / 8% — must sum to 100%</t>
        </is>
      </c>
    </row>
    <row r="33">
      <c r="B33" s="136" t="inlineStr">
        <is>
          <t>Monthly Churn Rates → D10-D12</t>
        </is>
      </c>
      <c r="C33" s="135" t="inlineStr">
        <is>
          <t>4.5% / 3.0% / 2.0% per tier</t>
        </is>
      </c>
    </row>
    <row r="34">
      <c r="B34" s="136" t="inlineStr">
        <is>
          <t>Scenario Selector → B5</t>
        </is>
      </c>
      <c r="C34" s="135" t="inlineStr">
        <is>
          <t>1=Bear, 2=Base, 3=Bull</t>
        </is>
      </c>
    </row>
    <row r="35">
      <c r="B35" s="136" t="inlineStr">
        <is>
          <t>Enterprise Pipeline → B29-D34</t>
        </is>
      </c>
      <c r="C35" s="135" t="inlineStr">
        <is>
          <t>Client count × avg contract per stage</t>
        </is>
      </c>
    </row>
    <row r="36">
      <c r="B36" s="136" t="inlineStr">
        <is>
          <t>Headcount Plan → B29-D35 (Headcount section)</t>
        </is>
      </c>
      <c r="C36" s="135" t="inlineStr">
        <is>
          <t>Staff count per growth stage</t>
        </is>
      </c>
    </row>
    <row r="37">
      <c r="B37" s="136" t="inlineStr">
        <is>
          <t>AI Compute Cost/User → C39-C44</t>
        </is>
      </c>
      <c r="C37" s="135" t="inlineStr">
        <is>
          <t>Cost per user at each scale level</t>
        </is>
      </c>
    </row>
    <row r="38">
      <c r="B38" s="136" t="inlineStr">
        <is>
          <t>Marketing % of MRR → B48-B52</t>
        </is>
      </c>
      <c r="C38" s="135" t="inlineStr">
        <is>
          <t>Marketing spend as % of revenue</t>
        </is>
      </c>
    </row>
    <row r="39">
      <c r="B39" s="136" t="inlineStr">
        <is>
          <t>CAC by Stage → C48-C52</t>
        </is>
      </c>
      <c r="C39" s="135" t="inlineStr">
        <is>
          <t>Customer acquisition cost at each stage</t>
        </is>
      </c>
    </row>
    <row r="40">
      <c r="B40" s="136" t="inlineStr">
        <is>
          <t>NRR by Stage → D48-D52</t>
        </is>
      </c>
      <c r="C40" s="135" t="inlineStr">
        <is>
          <t>Net revenue retention (upgrades vs churn)</t>
        </is>
      </c>
    </row>
    <row r="41">
      <c r="B41" s="136" t="inlineStr">
        <is>
          <t>Monthly Sign-Up Targets → B63-D74</t>
        </is>
      </c>
      <c r="C41" s="135" t="inlineStr">
        <is>
          <t>Bear/Base/Bull new user targets per month</t>
        </is>
      </c>
    </row>
    <row r="42">
      <c r="B42" s="136" t="inlineStr">
        <is>
          <t>Payment Processing Rate → B59</t>
        </is>
      </c>
      <c r="C42" s="135" t="inlineStr">
        <is>
          <t>Default 3%</t>
        </is>
      </c>
    </row>
    <row r="44">
      <c r="B44" s="130" t="inlineStr">
        <is>
          <t>COLOR LEGEND</t>
        </is>
      </c>
    </row>
    <row r="45">
      <c r="B45" s="136" t="inlineStr">
        <is>
          <t>Blue cells</t>
        </is>
      </c>
      <c r="C45" s="135" t="inlineStr">
        <is>
          <t>Editable inputs — change these freely</t>
        </is>
      </c>
    </row>
    <row r="46">
      <c r="B46" s="139" t="inlineStr">
        <is>
          <t>White cells</t>
        </is>
      </c>
      <c r="C46" s="135" t="inlineStr">
        <is>
          <t>Auto-calculated formulas — do NOT edit</t>
        </is>
      </c>
    </row>
    <row r="47">
      <c r="B47" s="138" t="inlineStr">
        <is>
          <t>Gold cells</t>
        </is>
      </c>
      <c r="C47" s="135" t="inlineStr">
        <is>
          <t>Scenario control — the master toggle</t>
        </is>
      </c>
    </row>
    <row r="48">
      <c r="B48" s="140" t="inlineStr">
        <is>
          <t>Gray cells</t>
        </is>
      </c>
      <c r="C48" s="135" t="inlineStr">
        <is>
          <t>Labels and headers — reference only</t>
        </is>
      </c>
    </row>
    <row r="49">
      <c r="B49" s="137" t="inlineStr">
        <is>
          <t>Green cells</t>
        </is>
      </c>
      <c r="C49" s="135" t="inlineStr">
        <is>
          <t>Positive results / targets met</t>
        </is>
      </c>
    </row>
    <row r="51">
      <c r="B51" s="130" t="inlineStr">
        <is>
          <t>KEY FORMULAS (HOW THE MODEL WORKS)</t>
        </is>
      </c>
    </row>
    <row r="52">
      <c r="B52" s="134" t="inlineStr">
        <is>
          <t>Active Subs</t>
        </is>
      </c>
      <c r="C52" s="141">
        <f> Previous_Active × (1 - tier_churn) + New_Signups × tier_mix%</f>
        <v/>
      </c>
    </row>
    <row r="53">
      <c r="B53" s="134" t="inlineStr">
        <is>
          <t>Consumer MRR</t>
        </is>
      </c>
      <c r="C53" s="141">
        <f> SUM(Awakened_subs × $197 + Partnered_subs × $579 + Unified_subs × $1,089)</f>
        <v/>
      </c>
    </row>
    <row r="54">
      <c r="B54" s="134" t="inlineStr">
        <is>
          <t>Enterprise MRR</t>
        </is>
      </c>
      <c r="C54" s="141">
        <f> Enterprise_clients × Avg_contract_value (from pipeline table)</f>
        <v/>
      </c>
    </row>
    <row r="55">
      <c r="B55" s="134" t="inlineStr">
        <is>
          <t>Total MRR</t>
        </is>
      </c>
      <c r="C55" s="141">
        <f> Consumer MRR + Enterprise MRR</f>
        <v/>
      </c>
    </row>
    <row r="56">
      <c r="B56" s="134" t="inlineStr">
        <is>
          <t>COGS</t>
        </is>
      </c>
      <c r="C56" s="141">
        <f> AI Compute (users × per-user cost at scale) + Payment Processing (3% × MRR)</f>
        <v/>
      </c>
    </row>
    <row r="57">
      <c r="B57" s="134" t="inlineStr">
        <is>
          <t>Gross Profit</t>
        </is>
      </c>
      <c r="C57" s="141">
        <f> Total MRR - COGS</f>
        <v/>
      </c>
    </row>
    <row r="58">
      <c r="B58" s="134" t="inlineStr">
        <is>
          <t>EBITDA</t>
        </is>
      </c>
      <c r="C58" s="141">
        <f> Gross Profit - Operating Expenses (payroll + marketing + office + legal + misc)</f>
        <v/>
      </c>
    </row>
    <row r="59">
      <c r="B59" s="134" t="inlineStr">
        <is>
          <t>LTV</t>
        </is>
      </c>
      <c r="C59" s="141">
        <f> Tier_Price × (1 / Monthly_Churn) — average lifetime revenue per subscriber</f>
        <v/>
      </c>
    </row>
    <row r="60">
      <c r="B60" s="134" t="inlineStr">
        <is>
          <t>LTV:CAC</t>
        </is>
      </c>
      <c r="C60" s="141">
        <f> LTV / CAC — how many dollars earned per dollar spent acquiring</f>
        <v/>
      </c>
    </row>
    <row r="61">
      <c r="B61" s="134" t="inlineStr">
        <is>
          <t>Scenario Switch</t>
        </is>
      </c>
      <c r="C61" s="141">
        <f> CHOOSE(B5, Bear_value, Base_value, Bull_value) — toggles all projections</f>
        <v/>
      </c>
    </row>
    <row r="63">
      <c r="B63" s="130" t="inlineStr">
        <is>
          <t>INVESTOR PRESENTATION TIPS</t>
        </is>
      </c>
    </row>
    <row r="64">
      <c r="B64" s="131" t="inlineStr">
        <is>
          <t>→</t>
        </is>
      </c>
      <c r="C64" s="132" t="inlineStr">
        <is>
          <t>Start with INVESTOR DASHBOARD — it has the KPI scorecard and milestone tracker.</t>
        </is>
      </c>
    </row>
    <row r="65">
      <c r="B65" s="131" t="inlineStr">
        <is>
          <t>→</t>
        </is>
      </c>
      <c r="C65" s="132" t="inlineStr">
        <is>
          <t>Use SCENARIO ENGINE to show investors you've stress-tested the model.</t>
        </is>
      </c>
    </row>
    <row r="66">
      <c r="B66" s="131" t="inlineStr">
        <is>
          <t>→</t>
        </is>
      </c>
      <c r="C66" s="132" t="inlineStr">
        <is>
          <t>Toggle B5 between 1/2/3 LIVE during the meeting to show Bear→Base→Bull impact.</t>
        </is>
      </c>
    </row>
    <row r="67">
      <c r="B67" s="131" t="inlineStr">
        <is>
          <t>→</t>
        </is>
      </c>
      <c r="C67" s="132" t="inlineStr">
        <is>
          <t>UNIT ECONOMICS shows the LTV:CAC story — 28:1 at launch, 225:1 at scale.</t>
        </is>
      </c>
    </row>
    <row r="68">
      <c r="B68" s="131" t="inlineStr">
        <is>
          <t>→</t>
        </is>
      </c>
      <c r="C68" s="132" t="inlineStr">
        <is>
          <t>P&amp;L STATEMENT is the GAAP-format view CFOs and finance-oriented investors expect.</t>
        </is>
      </c>
    </row>
    <row r="69">
      <c r="B69" s="131" t="inlineStr">
        <is>
          <t>→</t>
        </is>
      </c>
      <c r="C69" s="132" t="inlineStr">
        <is>
          <t>Print/PDF the INVESTOR DASHBOARD + SCENARIO ENGINE for leave-behind materials.</t>
        </is>
      </c>
    </row>
    <row r="71">
      <c r="B71" s="142" t="inlineStr">
        <is>
          <t>Model Date: March 16, 2026</t>
        </is>
      </c>
      <c r="C71" s="142" t="inlineStr">
        <is>
          <t>Prepared by: Pure Technology — Accounting &amp; Finance Department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A4A"/>
    <outlinePr summaryBelow="1" summaryRight="1"/>
    <pageSetUpPr/>
  </sheetPr>
  <dimension ref="A1:H77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5" customHeight="1">
      <c r="A1" s="1" t="inlineStr">
        <is>
          <t>PUREBRAIN.AI  —  5-YEAR FINANCIAL MODEL  |  ASSUMPTIONS &amp; CONTROL PANEL</t>
        </is>
      </c>
      <c r="B1" s="143" t="n"/>
      <c r="C1" s="143" t="n"/>
      <c r="D1" s="143" t="n"/>
      <c r="E1" s="143" t="n"/>
      <c r="F1" s="143" t="n"/>
      <c r="G1" s="143" t="n"/>
      <c r="H1" s="144" t="n"/>
    </row>
    <row r="2" ht="20" customHeight="1">
      <c r="A2" s="2" t="inlineStr">
        <is>
          <t>Blue cells = EDITABLE INPUTS   |   White/Gray cells = CALCULATED   |   Last Updated: March 16, 2026</t>
        </is>
      </c>
    </row>
    <row r="4" ht="22" customHeight="1">
      <c r="A4" s="3" t="inlineStr">
        <is>
          <t>SCENARIO SELECTOR</t>
        </is>
      </c>
      <c r="B4" s="143" t="n"/>
      <c r="C4" s="143" t="n"/>
      <c r="D4" s="143" t="n"/>
      <c r="E4" s="143" t="n"/>
      <c r="F4" s="143" t="n"/>
      <c r="G4" s="143" t="n"/>
      <c r="H4" s="144" t="n"/>
    </row>
    <row r="5">
      <c r="A5" s="4" t="inlineStr">
        <is>
          <t>Active Scenario (1=Bear, 2=Base, 3=Bull)</t>
        </is>
      </c>
      <c r="B5" s="5" t="n">
        <v>2</v>
      </c>
      <c r="C5" s="6" t="inlineStr">
        <is>
          <t>← Change this cell</t>
        </is>
      </c>
      <c r="D5" s="7" t="n"/>
      <c r="E5" s="8" t="inlineStr">
        <is>
          <t>1 = Bear Case</t>
        </is>
      </c>
      <c r="F5" s="9" t="inlineStr">
        <is>
          <t>2 = Base Case</t>
        </is>
      </c>
      <c r="G5" s="10" t="inlineStr">
        <is>
          <t>3 = Bull Case</t>
        </is>
      </c>
    </row>
    <row r="6">
      <c r="A6" s="11" t="inlineStr">
        <is>
          <t>Scenario Growth Multiplier (auto-calc)</t>
        </is>
      </c>
      <c r="B6" s="12">
        <f>CHOOSE(B5,0.67,1.00,1.40)</f>
        <v/>
      </c>
      <c r="C6" s="11" t="inlineStr">
        <is>
          <t>0.67 Bear | 1.00 Base | 1.40 Bull</t>
        </is>
      </c>
      <c r="D6" s="13" t="n"/>
      <c r="E6" s="7" t="n"/>
    </row>
    <row r="8" ht="22" customHeight="1">
      <c r="A8" s="14" t="inlineStr">
        <is>
          <t>PRICING  &amp;  TIER DISTRIBUTION</t>
        </is>
      </c>
      <c r="B8" s="143" t="n"/>
      <c r="C8" s="143" t="n"/>
      <c r="D8" s="143" t="n"/>
      <c r="E8" s="143" t="n"/>
      <c r="F8" s="143" t="n"/>
      <c r="G8" s="143" t="n"/>
      <c r="H8" s="144" t="n"/>
    </row>
    <row r="9">
      <c r="A9" s="15" t="inlineStr">
        <is>
          <t>Tier</t>
        </is>
      </c>
      <c r="B9" s="15" t="inlineStr">
        <is>
          <t>Monthly Price</t>
        </is>
      </c>
      <c r="C9" s="15" t="inlineStr">
        <is>
          <t>Tier Mix %</t>
        </is>
      </c>
      <c r="D9" s="15" t="inlineStr">
        <is>
          <t>Monthly Churn %</t>
        </is>
      </c>
      <c r="E9" s="15" t="inlineStr">
        <is>
          <t>Avg Life (months)</t>
        </is>
      </c>
      <c r="F9" s="15" t="inlineStr">
        <is>
          <t>Avg Life Calc</t>
        </is>
      </c>
      <c r="G9" s="15" t="inlineStr">
        <is>
          <t>LTV</t>
        </is>
      </c>
      <c r="H9" s="15" t="inlineStr">
        <is>
          <t>LTV Calc</t>
        </is>
      </c>
    </row>
    <row r="10">
      <c r="A10" s="16" t="inlineStr">
        <is>
          <t>Awakened</t>
        </is>
      </c>
      <c r="B10" s="17" t="n">
        <v>197</v>
      </c>
      <c r="C10" s="18" t="n">
        <v>0.72</v>
      </c>
      <c r="D10" s="19" t="n">
        <v>0.045</v>
      </c>
      <c r="E10" s="20">
        <f>IFERROR(1/D10,0)</f>
        <v/>
      </c>
      <c r="F10" s="21">
        <f>ROUND(E10,1)</f>
        <v/>
      </c>
      <c r="G10" s="22">
        <f>B10*E10</f>
        <v/>
      </c>
      <c r="H10" s="23">
        <f>ROUND(G10,0)</f>
        <v/>
      </c>
    </row>
    <row r="11">
      <c r="A11" s="16" t="inlineStr">
        <is>
          <t>Partnered</t>
        </is>
      </c>
      <c r="B11" s="17" t="n">
        <v>579</v>
      </c>
      <c r="C11" s="18" t="n">
        <v>0.2</v>
      </c>
      <c r="D11" s="19" t="n">
        <v>0.03</v>
      </c>
      <c r="E11" s="20">
        <f>IFERROR(1/D11,0)</f>
        <v/>
      </c>
      <c r="F11" s="21">
        <f>ROUND(E11,1)</f>
        <v/>
      </c>
      <c r="G11" s="22">
        <f>B11*E11</f>
        <v/>
      </c>
      <c r="H11" s="23">
        <f>ROUND(G11,0)</f>
        <v/>
      </c>
    </row>
    <row r="12">
      <c r="A12" s="16" t="inlineStr">
        <is>
          <t>Unified</t>
        </is>
      </c>
      <c r="B12" s="17" t="n">
        <v>1089</v>
      </c>
      <c r="C12" s="18" t="n">
        <v>0.08</v>
      </c>
      <c r="D12" s="19" t="n">
        <v>0.02</v>
      </c>
      <c r="E12" s="20">
        <f>IFERROR(1/D12,0)</f>
        <v/>
      </c>
      <c r="F12" s="21">
        <f>ROUND(E12,1)</f>
        <v/>
      </c>
      <c r="G12" s="22">
        <f>B12*E12</f>
        <v/>
      </c>
      <c r="H12" s="23">
        <f>ROUND(G12,0)</f>
        <v/>
      </c>
    </row>
    <row r="13">
      <c r="A13" s="24" t="inlineStr">
        <is>
          <t>Mix Total (must = 100%)</t>
        </is>
      </c>
      <c r="B13" s="25">
        <f>SUM(C10:C12)</f>
        <v/>
      </c>
      <c r="C13" s="26">
        <f>IF(ABS(B13-1)&lt;0.001,"✓ VALID","⚠ FIX MIX")</f>
        <v/>
      </c>
    </row>
    <row r="15" ht="22" customHeight="1">
      <c r="A15" s="14" t="inlineStr">
        <is>
          <t>ENTERPRISE PRICING  &amp;  CLIENT ASSUMPTIONS</t>
        </is>
      </c>
      <c r="B15" s="143" t="n"/>
      <c r="C15" s="143" t="n"/>
      <c r="D15" s="143" t="n"/>
      <c r="E15" s="143" t="n"/>
      <c r="F15" s="143" t="n"/>
      <c r="G15" s="143" t="n"/>
      <c r="H15" s="144" t="n"/>
    </row>
    <row r="16">
      <c r="A16" s="15" t="inlineStr">
        <is>
          <t>Scale Stage</t>
        </is>
      </c>
      <c r="B16" s="15" t="inlineStr">
        <is>
          <t>User Count</t>
        </is>
      </c>
      <c r="C16" s="15" t="inlineStr">
        <is>
          <t># Enterprise Clients</t>
        </is>
      </c>
      <c r="D16" s="15" t="inlineStr">
        <is>
          <t>Price/Client/Mo</t>
        </is>
      </c>
      <c r="E16" s="15" t="inlineStr">
        <is>
          <t>Enterprise MRR</t>
        </is>
      </c>
      <c r="F16" s="15" t="inlineStr">
        <is>
          <t>Enterprise Churn</t>
        </is>
      </c>
    </row>
    <row r="17">
      <c r="A17" s="16" t="inlineStr">
        <is>
          <t>MVP</t>
        </is>
      </c>
      <c r="B17" s="27" t="n">
        <v>100</v>
      </c>
      <c r="C17" s="27" t="n">
        <v>2</v>
      </c>
      <c r="D17" s="17" t="n">
        <v>10000</v>
      </c>
      <c r="E17" s="22">
        <f>C17*D17</f>
        <v/>
      </c>
      <c r="F17" s="19" t="n">
        <v>0.015</v>
      </c>
    </row>
    <row r="18">
      <c r="A18" s="16" t="inlineStr">
        <is>
          <t>1K Users</t>
        </is>
      </c>
      <c r="B18" s="27" t="n">
        <v>1000</v>
      </c>
      <c r="C18" s="27" t="n">
        <v>5</v>
      </c>
      <c r="D18" s="17" t="n">
        <v>10000</v>
      </c>
      <c r="E18" s="22">
        <f>C18*D18</f>
        <v/>
      </c>
      <c r="F18" s="19" t="n">
        <v>0.015</v>
      </c>
    </row>
    <row r="19">
      <c r="A19" s="16" t="inlineStr">
        <is>
          <t>10K Users</t>
        </is>
      </c>
      <c r="B19" s="27" t="n">
        <v>10000</v>
      </c>
      <c r="C19" s="27" t="n">
        <v>25</v>
      </c>
      <c r="D19" s="17" t="n">
        <v>12000</v>
      </c>
      <c r="E19" s="22">
        <f>C19*D19</f>
        <v/>
      </c>
      <c r="F19" s="19" t="n">
        <v>0.015</v>
      </c>
    </row>
    <row r="20">
      <c r="A20" s="16" t="inlineStr">
        <is>
          <t>100K Users</t>
        </is>
      </c>
      <c r="B20" s="27" t="n">
        <v>100000</v>
      </c>
      <c r="C20" s="27" t="n">
        <v>150</v>
      </c>
      <c r="D20" s="17" t="n">
        <v>15000</v>
      </c>
      <c r="E20" s="22">
        <f>C20*D20</f>
        <v/>
      </c>
      <c r="F20" s="19" t="n">
        <v>0.015</v>
      </c>
    </row>
    <row r="21">
      <c r="A21" s="16" t="inlineStr">
        <is>
          <t>1M Users</t>
        </is>
      </c>
      <c r="B21" s="27" t="n">
        <v>1000000</v>
      </c>
      <c r="C21" s="27" t="n">
        <v>1000</v>
      </c>
      <c r="D21" s="17" t="n">
        <v>18000</v>
      </c>
      <c r="E21" s="22">
        <f>C21*D21</f>
        <v/>
      </c>
      <c r="F21" s="19" t="n">
        <v>0.015</v>
      </c>
    </row>
    <row r="22">
      <c r="A22" s="16" t="inlineStr">
        <is>
          <t>5M+ Users</t>
        </is>
      </c>
      <c r="B22" s="27" t="n">
        <v>5000000</v>
      </c>
      <c r="C22" s="27" t="n">
        <v>5000</v>
      </c>
      <c r="D22" s="17" t="n">
        <v>20000</v>
      </c>
      <c r="E22" s="22">
        <f>C22*D22</f>
        <v/>
      </c>
      <c r="F22" s="19" t="n">
        <v>0.015</v>
      </c>
    </row>
    <row r="24" ht="22" customHeight="1">
      <c r="A24" s="28" t="inlineStr">
        <is>
          <t>BLENDED CONSUMER ARPU  (auto-calculated from tier mix &amp; pricing)</t>
        </is>
      </c>
      <c r="B24" s="143" t="n"/>
      <c r="C24" s="143" t="n"/>
      <c r="D24" s="143" t="n"/>
      <c r="E24" s="143" t="n"/>
      <c r="F24" s="143" t="n"/>
      <c r="G24" s="143" t="n"/>
      <c r="H24" s="144" t="n"/>
    </row>
    <row r="25">
      <c r="A25" s="29" t="inlineStr">
        <is>
          <t>Blended Consumer ARPU</t>
        </is>
      </c>
      <c r="B25" s="30">
        <f>B10*C10+B11*C11+B12*C12</f>
        <v/>
      </c>
      <c r="C25" s="31" t="inlineStr">
        <is>
          <t>Weighted avg of tier prices × tier mix</t>
        </is>
      </c>
      <c r="D25" s="13" t="n"/>
      <c r="E25" s="7" t="n"/>
    </row>
    <row r="27" ht="22" customHeight="1">
      <c r="A27" s="14" t="inlineStr">
        <is>
          <t>HEADCOUNT  &amp;  PAYROLL ASSUMPTIONS</t>
        </is>
      </c>
      <c r="B27" s="143" t="n"/>
      <c r="C27" s="143" t="n"/>
      <c r="D27" s="143" t="n"/>
      <c r="E27" s="143" t="n"/>
      <c r="F27" s="143" t="n"/>
      <c r="G27" s="143" t="n"/>
      <c r="H27" s="144" t="n"/>
    </row>
    <row r="28">
      <c r="A28" s="15" t="inlineStr">
        <is>
          <t>Stage</t>
        </is>
      </c>
      <c r="B28" s="15" t="inlineStr">
        <is>
          <t>Total Users</t>
        </is>
      </c>
      <c r="C28" s="15" t="inlineStr">
        <is>
          <t>Headcount</t>
        </is>
      </c>
      <c r="D28" s="15" t="inlineStr">
        <is>
          <t>Avg Salary/Mo</t>
        </is>
      </c>
      <c r="E28" s="15" t="inlineStr">
        <is>
          <t>Total Payroll/Mo</t>
        </is>
      </c>
      <c r="F28" s="15" t="inlineStr">
        <is>
          <t>$/User</t>
        </is>
      </c>
    </row>
    <row r="29">
      <c r="A29" s="16" t="inlineStr">
        <is>
          <t>Launch</t>
        </is>
      </c>
      <c r="B29" s="27" t="n">
        <v>100</v>
      </c>
      <c r="C29" s="27" t="n">
        <v>48</v>
      </c>
      <c r="D29" s="17" t="n">
        <v>10000</v>
      </c>
      <c r="E29" s="32">
        <f>C29*D29</f>
        <v/>
      </c>
      <c r="F29" s="33">
        <f>IFERROR(E29/B29,0)</f>
        <v/>
      </c>
    </row>
    <row r="30">
      <c r="A30" s="16" t="inlineStr">
        <is>
          <t>1K Users</t>
        </is>
      </c>
      <c r="B30" s="27" t="n">
        <v>1000</v>
      </c>
      <c r="C30" s="27" t="n">
        <v>55</v>
      </c>
      <c r="D30" s="17" t="n">
        <v>10000</v>
      </c>
      <c r="E30" s="32">
        <f>C30*D30</f>
        <v/>
      </c>
      <c r="F30" s="33">
        <f>IFERROR(E30/B30,0)</f>
        <v/>
      </c>
    </row>
    <row r="31">
      <c r="A31" s="16" t="inlineStr">
        <is>
          <t>10K Users</t>
        </is>
      </c>
      <c r="B31" s="27" t="n">
        <v>10000</v>
      </c>
      <c r="C31" s="27" t="n">
        <v>65</v>
      </c>
      <c r="D31" s="17" t="n">
        <v>10000</v>
      </c>
      <c r="E31" s="32">
        <f>C31*D31</f>
        <v/>
      </c>
      <c r="F31" s="33">
        <f>IFERROR(E31/B31,0)</f>
        <v/>
      </c>
    </row>
    <row r="32">
      <c r="A32" s="16" t="inlineStr">
        <is>
          <t>100K</t>
        </is>
      </c>
      <c r="B32" s="27" t="n">
        <v>100000</v>
      </c>
      <c r="C32" s="27" t="n">
        <v>80</v>
      </c>
      <c r="D32" s="17" t="n">
        <v>10000</v>
      </c>
      <c r="E32" s="32">
        <f>C32*D32</f>
        <v/>
      </c>
      <c r="F32" s="33">
        <f>IFERROR(E32/B32,0)</f>
        <v/>
      </c>
    </row>
    <row r="33">
      <c r="A33" s="16" t="inlineStr">
        <is>
          <t>500K</t>
        </is>
      </c>
      <c r="B33" s="27" t="n">
        <v>500000</v>
      </c>
      <c r="C33" s="27" t="n">
        <v>92</v>
      </c>
      <c r="D33" s="17" t="n">
        <v>10000</v>
      </c>
      <c r="E33" s="32">
        <f>C33*D33</f>
        <v/>
      </c>
      <c r="F33" s="33">
        <f>IFERROR(E33/B33,0)</f>
        <v/>
      </c>
    </row>
    <row r="34">
      <c r="A34" s="16" t="inlineStr">
        <is>
          <t>1M+</t>
        </is>
      </c>
      <c r="B34" s="27" t="n">
        <v>1000000</v>
      </c>
      <c r="C34" s="27" t="n">
        <v>98</v>
      </c>
      <c r="D34" s="17" t="n">
        <v>10000</v>
      </c>
      <c r="E34" s="32">
        <f>C34*D34</f>
        <v/>
      </c>
      <c r="F34" s="33">
        <f>IFERROR(E34/B34,0)</f>
        <v/>
      </c>
    </row>
    <row r="35">
      <c r="A35" s="16" t="inlineStr">
        <is>
          <t>Hard Cap</t>
        </is>
      </c>
      <c r="B35" s="27" t="n">
        <v>9999999</v>
      </c>
      <c r="C35" s="27" t="n">
        <v>100</v>
      </c>
      <c r="D35" s="17" t="n">
        <v>10000</v>
      </c>
      <c r="E35" s="32">
        <f>C35*D35</f>
        <v/>
      </c>
      <c r="F35" s="33">
        <f>IFERROR(E35/B35,0)</f>
        <v/>
      </c>
    </row>
    <row r="37" ht="22" customHeight="1">
      <c r="A37" s="14" t="inlineStr">
        <is>
          <t>AI COMPUTE COST  PER USER/MONTH  (economies of scale)</t>
        </is>
      </c>
      <c r="B37" s="143" t="n"/>
      <c r="C37" s="143" t="n"/>
      <c r="D37" s="143" t="n"/>
      <c r="E37" s="143" t="n"/>
      <c r="F37" s="143" t="n"/>
      <c r="G37" s="143" t="n"/>
      <c r="H37" s="144" t="n"/>
    </row>
    <row r="38">
      <c r="A38" s="15" t="inlineStr">
        <is>
          <t>Scale Stage</t>
        </is>
      </c>
      <c r="B38" s="15" t="inlineStr">
        <is>
          <t>Total Users</t>
        </is>
      </c>
      <c r="C38" s="15" t="inlineStr">
        <is>
          <t>Cost/User/Mo</t>
        </is>
      </c>
      <c r="D38" s="15" t="inlineStr">
        <is>
          <t>% of ARPU</t>
        </is>
      </c>
    </row>
    <row r="39">
      <c r="A39" s="16" t="inlineStr">
        <is>
          <t>100 users</t>
        </is>
      </c>
      <c r="B39" s="27" t="n">
        <v>100</v>
      </c>
      <c r="C39" s="34" t="n">
        <v>25</v>
      </c>
      <c r="D39" s="35">
        <f>IFERROR(C39/ASSUMPTIONS!$B$25,0)</f>
        <v/>
      </c>
    </row>
    <row r="40">
      <c r="A40" s="16" t="inlineStr">
        <is>
          <t>1K users</t>
        </is>
      </c>
      <c r="B40" s="27" t="n">
        <v>1000</v>
      </c>
      <c r="C40" s="34" t="n">
        <v>18</v>
      </c>
      <c r="D40" s="35">
        <f>IFERROR(C40/ASSUMPTIONS!$B$25,0)</f>
        <v/>
      </c>
    </row>
    <row r="41">
      <c r="A41" s="16" t="inlineStr">
        <is>
          <t>10K users</t>
        </is>
      </c>
      <c r="B41" s="27" t="n">
        <v>10000</v>
      </c>
      <c r="C41" s="34" t="n">
        <v>12</v>
      </c>
      <c r="D41" s="35">
        <f>IFERROR(C41/ASSUMPTIONS!$B$25,0)</f>
        <v/>
      </c>
    </row>
    <row r="42">
      <c r="A42" s="16" t="inlineStr">
        <is>
          <t>100K users</t>
        </is>
      </c>
      <c r="B42" s="27" t="n">
        <v>100000</v>
      </c>
      <c r="C42" s="34" t="n">
        <v>7</v>
      </c>
      <c r="D42" s="35">
        <f>IFERROR(C42/ASSUMPTIONS!$B$25,0)</f>
        <v/>
      </c>
    </row>
    <row r="43">
      <c r="A43" s="16" t="inlineStr">
        <is>
          <t>1M users</t>
        </is>
      </c>
      <c r="B43" s="27" t="n">
        <v>1000000</v>
      </c>
      <c r="C43" s="34" t="n">
        <v>3.5</v>
      </c>
      <c r="D43" s="35">
        <f>IFERROR(C43/ASSUMPTIONS!$B$25,0)</f>
        <v/>
      </c>
    </row>
    <row r="44">
      <c r="A44" s="16" t="inlineStr">
        <is>
          <t>5M+ users</t>
        </is>
      </c>
      <c r="B44" s="27" t="n">
        <v>5000000</v>
      </c>
      <c r="C44" s="34" t="n">
        <v>2.4</v>
      </c>
      <c r="D44" s="35">
        <f>IFERROR(C44/ASSUMPTIONS!$B$25,0)</f>
        <v/>
      </c>
    </row>
    <row r="46" ht="22" customHeight="1">
      <c r="A46" s="14" t="inlineStr">
        <is>
          <t>MARKETING  &amp;  CAC ASSUMPTIONS</t>
        </is>
      </c>
      <c r="B46" s="143" t="n"/>
      <c r="C46" s="143" t="n"/>
      <c r="D46" s="143" t="n"/>
      <c r="E46" s="143" t="n"/>
      <c r="F46" s="143" t="n"/>
      <c r="G46" s="143" t="n"/>
      <c r="H46" s="144" t="n"/>
    </row>
    <row r="47">
      <c r="A47" s="15" t="inlineStr">
        <is>
          <t>Stage</t>
        </is>
      </c>
      <c r="B47" s="15" t="inlineStr">
        <is>
          <t>Marketing % MRR</t>
        </is>
      </c>
      <c r="C47" s="15" t="inlineStr">
        <is>
          <t>CAC ($)</t>
        </is>
      </c>
      <c r="D47" s="15" t="inlineStr">
        <is>
          <t>NRR</t>
        </is>
      </c>
    </row>
    <row r="48">
      <c r="A48" s="16" t="inlineStr">
        <is>
          <t>Launch (Mar 2026)</t>
        </is>
      </c>
      <c r="B48" s="18" t="n">
        <v>0.093</v>
      </c>
      <c r="C48" s="17" t="n">
        <v>150</v>
      </c>
      <c r="D48" s="18" t="n">
        <v>1.07</v>
      </c>
    </row>
    <row r="49">
      <c r="A49" s="16" t="inlineStr">
        <is>
          <t>Growth (Jun 2026)</t>
        </is>
      </c>
      <c r="B49" s="18" t="n">
        <v>0.138</v>
      </c>
      <c r="C49" s="17" t="n">
        <v>90</v>
      </c>
      <c r="D49" s="18" t="n">
        <v>1.12</v>
      </c>
    </row>
    <row r="50">
      <c r="A50" s="16" t="inlineStr">
        <is>
          <t>Scale (Dec 2026)</t>
        </is>
      </c>
      <c r="B50" s="18" t="n">
        <v>0.156</v>
      </c>
      <c r="C50" s="17" t="n">
        <v>45</v>
      </c>
      <c r="D50" s="18" t="n">
        <v>1.18</v>
      </c>
    </row>
    <row r="51">
      <c r="A51" s="16" t="inlineStr">
        <is>
          <t>Maturity (Year 3+)</t>
        </is>
      </c>
      <c r="B51" s="18" t="n">
        <v>0.1</v>
      </c>
      <c r="C51" s="17" t="n">
        <v>20</v>
      </c>
      <c r="D51" s="18" t="n">
        <v>1.25</v>
      </c>
    </row>
    <row r="53" ht="22" customHeight="1">
      <c r="A53" s="14" t="inlineStr">
        <is>
          <t>OTHER OPEX ASSUMPTIONS</t>
        </is>
      </c>
      <c r="B53" s="143" t="n"/>
      <c r="C53" s="143" t="n"/>
      <c r="D53" s="143" t="n"/>
      <c r="E53" s="143" t="n"/>
      <c r="F53" s="143" t="n"/>
      <c r="G53" s="143" t="n"/>
      <c r="H53" s="144" t="n"/>
    </row>
    <row r="54">
      <c r="A54" s="15" t="inlineStr">
        <is>
          <t>Expense Category</t>
        </is>
      </c>
      <c r="B54" s="15" t="inlineStr">
        <is>
          <t>Rate / Method</t>
        </is>
      </c>
      <c r="C54" s="15" t="inlineStr">
        <is>
          <t>Mar 2026 ($)</t>
        </is>
      </c>
      <c r="D54" s="15" t="inlineStr">
        <is>
          <t>Jun 2026 ($)</t>
        </is>
      </c>
      <c r="E54" s="15" t="inlineStr">
        <is>
          <t>Dec 2026 ($)</t>
        </is>
      </c>
      <c r="F54" s="15" t="inlineStr">
        <is>
          <t>Year 2 Run Rate ($)</t>
        </is>
      </c>
    </row>
    <row r="55">
      <c r="A55" s="16" t="inlineStr">
        <is>
          <t>Payment Processing</t>
        </is>
      </c>
      <c r="B55" s="36" t="inlineStr">
        <is>
          <t>3% of MRR</t>
        </is>
      </c>
      <c r="C55" s="17" t="n">
        <v>1600</v>
      </c>
      <c r="D55" s="17" t="n">
        <v>1086000</v>
      </c>
      <c r="E55" s="17" t="n">
        <v>3863000</v>
      </c>
      <c r="F55" s="17" t="n">
        <v>30000000</v>
      </c>
    </row>
    <row r="56">
      <c r="A56" s="16" t="inlineStr">
        <is>
          <t>Office &amp; Ops</t>
        </is>
      </c>
      <c r="B56" s="36" t="inlineStr">
        <is>
          <t>Fixed + growth</t>
        </is>
      </c>
      <c r="C56" s="17" t="n">
        <v>20000</v>
      </c>
      <c r="D56" s="17" t="n">
        <v>30000</v>
      </c>
      <c r="E56" s="17" t="n">
        <v>50000</v>
      </c>
      <c r="F56" s="17" t="n">
        <v>100000</v>
      </c>
    </row>
    <row r="57">
      <c r="A57" s="16" t="inlineStr">
        <is>
          <t>Legal</t>
        </is>
      </c>
      <c r="B57" s="36" t="inlineStr">
        <is>
          <t>Fixed + growth</t>
        </is>
      </c>
      <c r="C57" s="17" t="n">
        <v>10000</v>
      </c>
      <c r="D57" s="17" t="n">
        <v>25000</v>
      </c>
      <c r="E57" s="17" t="n">
        <v>50000</v>
      </c>
      <c r="F57" s="17" t="n">
        <v>100000</v>
      </c>
    </row>
    <row r="58">
      <c r="A58" s="16" t="inlineStr">
        <is>
          <t>Misc/Contingency</t>
        </is>
      </c>
      <c r="B58" s="36" t="inlineStr">
        <is>
          <t>5% of (Payroll+Mkt+Compute)</t>
        </is>
      </c>
      <c r="C58" s="17" t="n">
        <v>28000</v>
      </c>
      <c r="D58" s="17" t="n">
        <v>157000</v>
      </c>
      <c r="E58" s="17" t="n">
        <v>557000</v>
      </c>
      <c r="F58" s="17" t="n">
        <v>2710000</v>
      </c>
    </row>
    <row r="59">
      <c r="A59" s="29" t="inlineStr">
        <is>
          <t>Payment Processing Rate</t>
        </is>
      </c>
      <c r="B59" s="18" t="n">
        <v>0.03</v>
      </c>
      <c r="C59" s="31" t="inlineStr">
        <is>
          <t>← Applied to all MRR in P&amp;L</t>
        </is>
      </c>
      <c r="D59" s="13" t="n"/>
      <c r="E59" s="7" t="n"/>
    </row>
    <row r="61" ht="22" customHeight="1">
      <c r="A61" s="14" t="inlineStr">
        <is>
          <t>MONTHLY USER GROWTH TARGETS  (new sign-ups per month)</t>
        </is>
      </c>
      <c r="B61" s="143" t="n"/>
      <c r="C61" s="143" t="n"/>
      <c r="D61" s="143" t="n"/>
      <c r="E61" s="143" t="n"/>
      <c r="F61" s="143" t="n"/>
      <c r="G61" s="143" t="n"/>
      <c r="H61" s="144" t="n"/>
    </row>
    <row r="62">
      <c r="A62" s="15" t="inlineStr">
        <is>
          <t>Month</t>
        </is>
      </c>
      <c r="B62" s="15" t="inlineStr">
        <is>
          <t>New Sign-Ups (Base)</t>
        </is>
      </c>
      <c r="C62" s="15" t="inlineStr">
        <is>
          <t>New Sign-Ups (Bear)</t>
        </is>
      </c>
      <c r="D62" s="15" t="inlineStr">
        <is>
          <t>New Sign-Ups (Bull)</t>
        </is>
      </c>
      <c r="E62" s="15" t="inlineStr">
        <is>
          <t>Active (Scenario)</t>
        </is>
      </c>
      <c r="F62" s="15" t="inlineStr">
        <is>
          <t>MoM Growth %</t>
        </is>
      </c>
    </row>
    <row r="63">
      <c r="A63" s="16" t="inlineStr">
        <is>
          <t>Mar 2026</t>
        </is>
      </c>
      <c r="B63" s="27" t="n">
        <v>100</v>
      </c>
      <c r="C63" s="27" t="n">
        <v>67</v>
      </c>
      <c r="D63" s="27" t="n">
        <v>140</v>
      </c>
      <c r="E63" s="37">
        <f>CHOOSE(ASSUMPTIONS!$B$5,C63,B63,D63)</f>
        <v/>
      </c>
      <c r="F63" s="38" t="inlineStr">
        <is>
          <t>N/A</t>
        </is>
      </c>
    </row>
    <row r="64">
      <c r="A64" s="16" t="inlineStr">
        <is>
          <t>Apr 2026</t>
        </is>
      </c>
      <c r="B64" s="27" t="n">
        <v>900</v>
      </c>
      <c r="C64" s="27" t="n">
        <v>600</v>
      </c>
      <c r="D64" s="27" t="n">
        <v>1260</v>
      </c>
      <c r="E64" s="37">
        <f>CHOOSE(ASSUMPTIONS!$B$5,C64,B64,D64)</f>
        <v/>
      </c>
      <c r="F64" s="35">
        <f>IFERROR((E64-E63)/E63,0)</f>
        <v/>
      </c>
    </row>
    <row r="65">
      <c r="A65" s="16" t="inlineStr">
        <is>
          <t>May 2026</t>
        </is>
      </c>
      <c r="B65" s="27" t="n">
        <v>9000</v>
      </c>
      <c r="C65" s="27" t="n">
        <v>6000</v>
      </c>
      <c r="D65" s="27" t="n">
        <v>12600</v>
      </c>
      <c r="E65" s="37">
        <f>CHOOSE(ASSUMPTIONS!$B$5,C65,B65,D65)</f>
        <v/>
      </c>
      <c r="F65" s="35">
        <f>IFERROR((E65-E64)/E64,0)</f>
        <v/>
      </c>
    </row>
    <row r="66">
      <c r="A66" s="16" t="inlineStr">
        <is>
          <t>Jun 2026</t>
        </is>
      </c>
      <c r="B66" s="27" t="n">
        <v>90000</v>
      </c>
      <c r="C66" s="27" t="n">
        <v>60000</v>
      </c>
      <c r="D66" s="27" t="n">
        <v>126000</v>
      </c>
      <c r="E66" s="37">
        <f>CHOOSE(ASSUMPTIONS!$B$5,C66,B66,D66)</f>
        <v/>
      </c>
      <c r="F66" s="35">
        <f>IFERROR((E66-E65)/E65,0)</f>
        <v/>
      </c>
    </row>
    <row r="67">
      <c r="A67" s="16" t="inlineStr">
        <is>
          <t>Jul 2026</t>
        </is>
      </c>
      <c r="B67" s="27" t="n">
        <v>30000</v>
      </c>
      <c r="C67" s="27" t="n">
        <v>20000</v>
      </c>
      <c r="D67" s="27" t="n">
        <v>42000</v>
      </c>
      <c r="E67" s="37">
        <f>CHOOSE(ASSUMPTIONS!$B$5,C67,B67,D67)</f>
        <v/>
      </c>
      <c r="F67" s="35">
        <f>IFERROR((E67-E66)/E66,0)</f>
        <v/>
      </c>
    </row>
    <row r="68">
      <c r="A68" s="16" t="inlineStr">
        <is>
          <t>Aug 2026</t>
        </is>
      </c>
      <c r="B68" s="27" t="n">
        <v>35000</v>
      </c>
      <c r="C68" s="27" t="n">
        <v>23000</v>
      </c>
      <c r="D68" s="27" t="n">
        <v>49000</v>
      </c>
      <c r="E68" s="37">
        <f>CHOOSE(ASSUMPTIONS!$B$5,C68,B68,D68)</f>
        <v/>
      </c>
      <c r="F68" s="35">
        <f>IFERROR((E68-E67)/E67,0)</f>
        <v/>
      </c>
    </row>
    <row r="69">
      <c r="A69" s="16" t="inlineStr">
        <is>
          <t>Sep 2026</t>
        </is>
      </c>
      <c r="B69" s="27" t="n">
        <v>42000</v>
      </c>
      <c r="C69" s="27" t="n">
        <v>28000</v>
      </c>
      <c r="D69" s="27" t="n">
        <v>59000</v>
      </c>
      <c r="E69" s="37">
        <f>CHOOSE(ASSUMPTIONS!$B$5,C69,B69,D69)</f>
        <v/>
      </c>
      <c r="F69" s="35">
        <f>IFERROR((E69-E68)/E68,0)</f>
        <v/>
      </c>
    </row>
    <row r="70">
      <c r="A70" s="16" t="inlineStr">
        <is>
          <t>Oct 2026</t>
        </is>
      </c>
      <c r="B70" s="27" t="n">
        <v>50000</v>
      </c>
      <c r="C70" s="27" t="n">
        <v>33000</v>
      </c>
      <c r="D70" s="27" t="n">
        <v>70000</v>
      </c>
      <c r="E70" s="37">
        <f>CHOOSE(ASSUMPTIONS!$B$5,C70,B70,D70)</f>
        <v/>
      </c>
      <c r="F70" s="35">
        <f>IFERROR((E70-E69)/E69,0)</f>
        <v/>
      </c>
    </row>
    <row r="71">
      <c r="A71" s="16" t="inlineStr">
        <is>
          <t>Nov 2026</t>
        </is>
      </c>
      <c r="B71" s="27" t="n">
        <v>60000</v>
      </c>
      <c r="C71" s="27" t="n">
        <v>40000</v>
      </c>
      <c r="D71" s="27" t="n">
        <v>84000</v>
      </c>
      <c r="E71" s="37">
        <f>CHOOSE(ASSUMPTIONS!$B$5,C71,B71,D71)</f>
        <v/>
      </c>
      <c r="F71" s="35">
        <f>IFERROR((E71-E70)/E70,0)</f>
        <v/>
      </c>
    </row>
    <row r="72">
      <c r="A72" s="16" t="inlineStr">
        <is>
          <t>Dec 2026</t>
        </is>
      </c>
      <c r="B72" s="27" t="n">
        <v>72000</v>
      </c>
      <c r="C72" s="27" t="n">
        <v>48000</v>
      </c>
      <c r="D72" s="27" t="n">
        <v>101000</v>
      </c>
      <c r="E72" s="37">
        <f>CHOOSE(ASSUMPTIONS!$B$5,C72,B72,D72)</f>
        <v/>
      </c>
      <c r="F72" s="35">
        <f>IFERROR((E72-E71)/E71,0)</f>
        <v/>
      </c>
    </row>
    <row r="73">
      <c r="A73" s="16" t="inlineStr">
        <is>
          <t>Jan 2027</t>
        </is>
      </c>
      <c r="B73" s="27" t="n">
        <v>86000</v>
      </c>
      <c r="C73" s="27" t="n">
        <v>58000</v>
      </c>
      <c r="D73" s="27" t="n">
        <v>120000</v>
      </c>
      <c r="E73" s="37">
        <f>CHOOSE(ASSUMPTIONS!$B$5,C73,B73,D73)</f>
        <v/>
      </c>
      <c r="F73" s="35">
        <f>IFERROR((E73-E72)/E72,0)</f>
        <v/>
      </c>
    </row>
    <row r="74">
      <c r="A74" s="16" t="inlineStr">
        <is>
          <t>Feb 2027</t>
        </is>
      </c>
      <c r="B74" s="27" t="n">
        <v>100000</v>
      </c>
      <c r="C74" s="27" t="n">
        <v>67000</v>
      </c>
      <c r="D74" s="27" t="n">
        <v>140000</v>
      </c>
      <c r="E74" s="37">
        <f>CHOOSE(ASSUMPTIONS!$B$5,C74,B74,D74)</f>
        <v/>
      </c>
      <c r="F74" s="35">
        <f>IFERROR((E74-E73)/E73,0)</f>
        <v/>
      </c>
    </row>
    <row r="77">
      <c r="A77" s="39" t="inlineStr">
        <is>
          <t>LEGEND:</t>
        </is>
      </c>
      <c r="B77" s="40" t="inlineStr">
        <is>
          <t>Blue = Editable Input</t>
        </is>
      </c>
      <c r="C77" s="41" t="inlineStr">
        <is>
          <t>White = Auto-Calculated</t>
        </is>
      </c>
      <c r="D77" s="36" t="inlineStr">
        <is>
          <t>Gray = Reference / Label</t>
        </is>
      </c>
      <c r="E77" s="42" t="inlineStr">
        <is>
          <t>Gold = Scenario Control</t>
        </is>
      </c>
    </row>
  </sheetData>
  <mergeCells count="15">
    <mergeCell ref="A4:H4"/>
    <mergeCell ref="A53:H53"/>
    <mergeCell ref="A46:H46"/>
    <mergeCell ref="A15:H15"/>
    <mergeCell ref="A24:H24"/>
    <mergeCell ref="A2:H2"/>
    <mergeCell ref="C5:D5"/>
    <mergeCell ref="A37:H37"/>
    <mergeCell ref="A1:H1"/>
    <mergeCell ref="C59:E59"/>
    <mergeCell ref="A27:H27"/>
    <mergeCell ref="A8:H8"/>
    <mergeCell ref="A61:H61"/>
    <mergeCell ref="C25:E25"/>
    <mergeCell ref="C6:E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N3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5" customHeight="1">
      <c r="A1" s="43" t="inlineStr">
        <is>
          <t>PUREBRAIN.AI  —  YEAR 1 MONTHLY MODEL  (Mar 2026 – Feb 2027)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4" t="n"/>
    </row>
    <row r="2" ht="16" customHeight="1">
      <c r="A2" s="2" t="inlineStr">
        <is>
          <t>All formulas reference ASSUMPTIONS sheet. Change scenario there to see Bear/Base/Bull.</t>
        </is>
      </c>
    </row>
    <row r="4">
      <c r="A4" s="44" t="inlineStr">
        <is>
          <t>METRIC</t>
        </is>
      </c>
      <c r="B4" s="45" t="inlineStr">
        <is>
          <t>Mar-26</t>
        </is>
      </c>
      <c r="C4" s="45" t="inlineStr">
        <is>
          <t>Apr-26</t>
        </is>
      </c>
      <c r="D4" s="45" t="inlineStr">
        <is>
          <t>May-26</t>
        </is>
      </c>
      <c r="E4" s="45" t="inlineStr">
        <is>
          <t>Jun-26</t>
        </is>
      </c>
      <c r="F4" s="45" t="inlineStr">
        <is>
          <t>Jul-26</t>
        </is>
      </c>
      <c r="G4" s="45" t="inlineStr">
        <is>
          <t>Aug-26</t>
        </is>
      </c>
      <c r="H4" s="45" t="inlineStr">
        <is>
          <t>Sep-26</t>
        </is>
      </c>
      <c r="I4" s="45" t="inlineStr">
        <is>
          <t>Oct-26</t>
        </is>
      </c>
      <c r="J4" s="45" t="inlineStr">
        <is>
          <t>Nov-26</t>
        </is>
      </c>
      <c r="K4" s="45" t="inlineStr">
        <is>
          <t>Dec-26</t>
        </is>
      </c>
      <c r="L4" s="45" t="inlineStr">
        <is>
          <t>Jan-27</t>
        </is>
      </c>
      <c r="M4" s="45" t="inlineStr">
        <is>
          <t>Feb-27</t>
        </is>
      </c>
      <c r="N4" s="15" t="inlineStr">
        <is>
          <t>YEAR 1 TOTAL</t>
        </is>
      </c>
    </row>
    <row r="5">
      <c r="A5" s="46" t="inlineStr">
        <is>
          <t>SUBSCRIBER ACQUISITION</t>
        </is>
      </c>
      <c r="B5" s="143" t="n"/>
      <c r="C5" s="143" t="n"/>
      <c r="D5" s="143" t="n"/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4" t="n"/>
    </row>
    <row r="6">
      <c r="A6" s="29" t="inlineStr">
        <is>
          <t>New Sign-Ups (Scenario)</t>
        </is>
      </c>
      <c r="B6" s="37">
        <f>ASSUMPTIONS!E63</f>
        <v/>
      </c>
      <c r="C6" s="37">
        <f>ASSUMPTIONS!E64</f>
        <v/>
      </c>
      <c r="D6" s="37">
        <f>ASSUMPTIONS!E65</f>
        <v/>
      </c>
      <c r="E6" s="37">
        <f>ASSUMPTIONS!E66</f>
        <v/>
      </c>
      <c r="F6" s="37">
        <f>ASSUMPTIONS!E67</f>
        <v/>
      </c>
      <c r="G6" s="37">
        <f>ASSUMPTIONS!E68</f>
        <v/>
      </c>
      <c r="H6" s="37">
        <f>ASSUMPTIONS!E69</f>
        <v/>
      </c>
      <c r="I6" s="37">
        <f>ASSUMPTIONS!E70</f>
        <v/>
      </c>
      <c r="J6" s="37">
        <f>ASSUMPTIONS!E71</f>
        <v/>
      </c>
      <c r="K6" s="37">
        <f>ASSUMPTIONS!E72</f>
        <v/>
      </c>
      <c r="L6" s="37">
        <f>ASSUMPTIONS!E73</f>
        <v/>
      </c>
      <c r="M6" s="37">
        <f>ASSUMPTIONS!E74</f>
        <v/>
      </c>
      <c r="N6" s="37">
        <f>SUM(B6:M6)</f>
        <v/>
      </c>
    </row>
    <row r="7">
      <c r="A7" s="46" t="inlineStr">
        <is>
          <t>ACTIVE SUBSCRIBERS  BY TIER</t>
        </is>
      </c>
      <c r="B7" s="143" t="n"/>
      <c r="C7" s="143" t="n"/>
      <c r="D7" s="143" t="n"/>
      <c r="E7" s="143" t="n"/>
      <c r="F7" s="143" t="n"/>
      <c r="G7" s="143" t="n"/>
      <c r="H7" s="143" t="n"/>
      <c r="I7" s="143" t="n"/>
      <c r="J7" s="143" t="n"/>
      <c r="K7" s="143" t="n"/>
      <c r="L7" s="143" t="n"/>
      <c r="M7" s="143" t="n"/>
      <c r="N7" s="144" t="n"/>
    </row>
    <row r="8">
      <c r="A8" s="16" t="inlineStr">
        <is>
          <t>Active Awakened Subs</t>
        </is>
      </c>
      <c r="B8" s="47">
        <f>ROUND(B6*ASSUMPTIONS!C10*(1-ASSUMPTIONS!D10),0)</f>
        <v/>
      </c>
      <c r="C8" s="47">
        <f>ROUND(B8*(1-ASSUMPTIONS!D10)+C6*ASSUMPTIONS!C10,0)</f>
        <v/>
      </c>
      <c r="D8" s="47">
        <f>ROUND(C8*(1-ASSUMPTIONS!D10)+D6*ASSUMPTIONS!C10,0)</f>
        <v/>
      </c>
      <c r="E8" s="47">
        <f>ROUND(D8*(1-ASSUMPTIONS!D10)+E6*ASSUMPTIONS!C10,0)</f>
        <v/>
      </c>
      <c r="F8" s="47">
        <f>ROUND(E8*(1-ASSUMPTIONS!D10)+F6*ASSUMPTIONS!C10,0)</f>
        <v/>
      </c>
      <c r="G8" s="47">
        <f>ROUND(F8*(1-ASSUMPTIONS!D10)+G6*ASSUMPTIONS!C10,0)</f>
        <v/>
      </c>
      <c r="H8" s="47">
        <f>ROUND(G8*(1-ASSUMPTIONS!D10)+H6*ASSUMPTIONS!C10,0)</f>
        <v/>
      </c>
      <c r="I8" s="47">
        <f>ROUND(H8*(1-ASSUMPTIONS!D10)+I6*ASSUMPTIONS!C10,0)</f>
        <v/>
      </c>
      <c r="J8" s="47">
        <f>ROUND(I8*(1-ASSUMPTIONS!D10)+J6*ASSUMPTIONS!C10,0)</f>
        <v/>
      </c>
      <c r="K8" s="47">
        <f>ROUND(J8*(1-ASSUMPTIONS!D10)+K6*ASSUMPTIONS!C10,0)</f>
        <v/>
      </c>
      <c r="L8" s="47">
        <f>ROUND(K8*(1-ASSUMPTIONS!D10)+L6*ASSUMPTIONS!C10,0)</f>
        <v/>
      </c>
      <c r="M8" s="47">
        <f>ROUND(L8*(1-ASSUMPTIONS!D10)+M6*ASSUMPTIONS!C10,0)</f>
        <v/>
      </c>
      <c r="N8" s="48">
        <f>M8</f>
        <v/>
      </c>
    </row>
    <row r="9">
      <c r="A9" s="16" t="inlineStr">
        <is>
          <t>Active Partnered Subs</t>
        </is>
      </c>
      <c r="B9" s="47">
        <f>ROUND(B6*ASSUMPTIONS!C11*(1-ASSUMPTIONS!D11),0)</f>
        <v/>
      </c>
      <c r="C9" s="47">
        <f>ROUND(B9*(1-ASSUMPTIONS!D11)+C6*ASSUMPTIONS!C11,0)</f>
        <v/>
      </c>
      <c r="D9" s="47">
        <f>ROUND(C9*(1-ASSUMPTIONS!D11)+D6*ASSUMPTIONS!C11,0)</f>
        <v/>
      </c>
      <c r="E9" s="47">
        <f>ROUND(D9*(1-ASSUMPTIONS!D11)+E6*ASSUMPTIONS!C11,0)</f>
        <v/>
      </c>
      <c r="F9" s="47">
        <f>ROUND(E9*(1-ASSUMPTIONS!D11)+F6*ASSUMPTIONS!C11,0)</f>
        <v/>
      </c>
      <c r="G9" s="47">
        <f>ROUND(F9*(1-ASSUMPTIONS!D11)+G6*ASSUMPTIONS!C11,0)</f>
        <v/>
      </c>
      <c r="H9" s="47">
        <f>ROUND(G9*(1-ASSUMPTIONS!D11)+H6*ASSUMPTIONS!C11,0)</f>
        <v/>
      </c>
      <c r="I9" s="47">
        <f>ROUND(H9*(1-ASSUMPTIONS!D11)+I6*ASSUMPTIONS!C11,0)</f>
        <v/>
      </c>
      <c r="J9" s="47">
        <f>ROUND(I9*(1-ASSUMPTIONS!D11)+J6*ASSUMPTIONS!C11,0)</f>
        <v/>
      </c>
      <c r="K9" s="47">
        <f>ROUND(J9*(1-ASSUMPTIONS!D11)+K6*ASSUMPTIONS!C11,0)</f>
        <v/>
      </c>
      <c r="L9" s="47">
        <f>ROUND(K9*(1-ASSUMPTIONS!D11)+L6*ASSUMPTIONS!C11,0)</f>
        <v/>
      </c>
      <c r="M9" s="47">
        <f>ROUND(L9*(1-ASSUMPTIONS!D11)+M6*ASSUMPTIONS!C11,0)</f>
        <v/>
      </c>
      <c r="N9" s="48">
        <f>M9</f>
        <v/>
      </c>
    </row>
    <row r="10">
      <c r="A10" s="16" t="inlineStr">
        <is>
          <t>Active Unified Subs</t>
        </is>
      </c>
      <c r="B10" s="47">
        <f>ROUND(B6*ASSUMPTIONS!C12*(1-ASSUMPTIONS!D12),0)</f>
        <v/>
      </c>
      <c r="C10" s="47">
        <f>ROUND(B10*(1-ASSUMPTIONS!D12)+C6*ASSUMPTIONS!C12,0)</f>
        <v/>
      </c>
      <c r="D10" s="47">
        <f>ROUND(C10*(1-ASSUMPTIONS!D12)+D6*ASSUMPTIONS!C12,0)</f>
        <v/>
      </c>
      <c r="E10" s="47">
        <f>ROUND(D10*(1-ASSUMPTIONS!D12)+E6*ASSUMPTIONS!C12,0)</f>
        <v/>
      </c>
      <c r="F10" s="47">
        <f>ROUND(E10*(1-ASSUMPTIONS!D12)+F6*ASSUMPTIONS!C12,0)</f>
        <v/>
      </c>
      <c r="G10" s="47">
        <f>ROUND(F10*(1-ASSUMPTIONS!D12)+G6*ASSUMPTIONS!C12,0)</f>
        <v/>
      </c>
      <c r="H10" s="47">
        <f>ROUND(G10*(1-ASSUMPTIONS!D12)+H6*ASSUMPTIONS!C12,0)</f>
        <v/>
      </c>
      <c r="I10" s="47">
        <f>ROUND(H10*(1-ASSUMPTIONS!D12)+I6*ASSUMPTIONS!C12,0)</f>
        <v/>
      </c>
      <c r="J10" s="47">
        <f>ROUND(I10*(1-ASSUMPTIONS!D12)+J6*ASSUMPTIONS!C12,0)</f>
        <v/>
      </c>
      <c r="K10" s="47">
        <f>ROUND(J10*(1-ASSUMPTIONS!D12)+K6*ASSUMPTIONS!C12,0)</f>
        <v/>
      </c>
      <c r="L10" s="47">
        <f>ROUND(K10*(1-ASSUMPTIONS!D12)+L6*ASSUMPTIONS!C12,0)</f>
        <v/>
      </c>
      <c r="M10" s="47">
        <f>ROUND(L10*(1-ASSUMPTIONS!D12)+M6*ASSUMPTIONS!C12,0)</f>
        <v/>
      </c>
      <c r="N10" s="48">
        <f>M10</f>
        <v/>
      </c>
    </row>
    <row r="11">
      <c r="A11" s="29" t="inlineStr">
        <is>
          <t>TOTAL Active Subscribers</t>
        </is>
      </c>
      <c r="B11" s="37">
        <f>B8+B9+B10</f>
        <v/>
      </c>
      <c r="C11" s="37">
        <f>C8+C9+C10</f>
        <v/>
      </c>
      <c r="D11" s="37">
        <f>D8+D9+D10</f>
        <v/>
      </c>
      <c r="E11" s="37">
        <f>E8+E9+E10</f>
        <v/>
      </c>
      <c r="F11" s="37">
        <f>F8+F9+F10</f>
        <v/>
      </c>
      <c r="G11" s="37">
        <f>G8+G9+G10</f>
        <v/>
      </c>
      <c r="H11" s="37">
        <f>H8+H9+H10</f>
        <v/>
      </c>
      <c r="I11" s="37">
        <f>I8+I9+I10</f>
        <v/>
      </c>
      <c r="J11" s="37">
        <f>J8+J9+J10</f>
        <v/>
      </c>
      <c r="K11" s="37">
        <f>K8+K9+K10</f>
        <v/>
      </c>
      <c r="L11" s="37">
        <f>L8+L9+L10</f>
        <v/>
      </c>
      <c r="M11" s="37">
        <f>M8+M9+M10</f>
        <v/>
      </c>
      <c r="N11" s="37">
        <f>M11</f>
        <v/>
      </c>
    </row>
    <row r="12">
      <c r="A12" s="46" t="inlineStr">
        <is>
          <t>CONSUMER  MRR  BY TIER</t>
        </is>
      </c>
      <c r="B12" s="143" t="n"/>
      <c r="C12" s="143" t="n"/>
      <c r="D12" s="143" t="n"/>
      <c r="E12" s="143" t="n"/>
      <c r="F12" s="143" t="n"/>
      <c r="G12" s="143" t="n"/>
      <c r="H12" s="143" t="n"/>
      <c r="I12" s="143" t="n"/>
      <c r="J12" s="143" t="n"/>
      <c r="K12" s="143" t="n"/>
      <c r="L12" s="143" t="n"/>
      <c r="M12" s="143" t="n"/>
      <c r="N12" s="144" t="n"/>
    </row>
    <row r="13">
      <c r="A13" s="16" t="inlineStr">
        <is>
          <t>Awakened MRR</t>
        </is>
      </c>
      <c r="B13" s="22">
        <f>B8*ASSUMPTIONS!B10</f>
        <v/>
      </c>
      <c r="C13" s="22">
        <f>C8*ASSUMPTIONS!B10</f>
        <v/>
      </c>
      <c r="D13" s="22">
        <f>D8*ASSUMPTIONS!B10</f>
        <v/>
      </c>
      <c r="E13" s="22">
        <f>E8*ASSUMPTIONS!B10</f>
        <v/>
      </c>
      <c r="F13" s="22">
        <f>F8*ASSUMPTIONS!B10</f>
        <v/>
      </c>
      <c r="G13" s="22">
        <f>G8*ASSUMPTIONS!B10</f>
        <v/>
      </c>
      <c r="H13" s="22">
        <f>H8*ASSUMPTIONS!B10</f>
        <v/>
      </c>
      <c r="I13" s="22">
        <f>I8*ASSUMPTIONS!B10</f>
        <v/>
      </c>
      <c r="J13" s="22">
        <f>J8*ASSUMPTIONS!B10</f>
        <v/>
      </c>
      <c r="K13" s="22">
        <f>K8*ASSUMPTIONS!B10</f>
        <v/>
      </c>
      <c r="L13" s="22">
        <f>L8*ASSUMPTIONS!B10</f>
        <v/>
      </c>
      <c r="M13" s="22">
        <f>M8*ASSUMPTIONS!B10</f>
        <v/>
      </c>
      <c r="N13" s="32">
        <f>SUM(B13:M13)</f>
        <v/>
      </c>
    </row>
    <row r="14">
      <c r="A14" s="16" t="inlineStr">
        <is>
          <t>Partnered MRR</t>
        </is>
      </c>
      <c r="B14" s="22">
        <f>B9*ASSUMPTIONS!B11</f>
        <v/>
      </c>
      <c r="C14" s="22">
        <f>C9*ASSUMPTIONS!B11</f>
        <v/>
      </c>
      <c r="D14" s="22">
        <f>D9*ASSUMPTIONS!B11</f>
        <v/>
      </c>
      <c r="E14" s="22">
        <f>E9*ASSUMPTIONS!B11</f>
        <v/>
      </c>
      <c r="F14" s="22">
        <f>F9*ASSUMPTIONS!B11</f>
        <v/>
      </c>
      <c r="G14" s="22">
        <f>G9*ASSUMPTIONS!B11</f>
        <v/>
      </c>
      <c r="H14" s="22">
        <f>H9*ASSUMPTIONS!B11</f>
        <v/>
      </c>
      <c r="I14" s="22">
        <f>I9*ASSUMPTIONS!B11</f>
        <v/>
      </c>
      <c r="J14" s="22">
        <f>J9*ASSUMPTIONS!B11</f>
        <v/>
      </c>
      <c r="K14" s="22">
        <f>K9*ASSUMPTIONS!B11</f>
        <v/>
      </c>
      <c r="L14" s="22">
        <f>L9*ASSUMPTIONS!B11</f>
        <v/>
      </c>
      <c r="M14" s="22">
        <f>M9*ASSUMPTIONS!B11</f>
        <v/>
      </c>
      <c r="N14" s="32">
        <f>SUM(B14:M14)</f>
        <v/>
      </c>
    </row>
    <row r="15">
      <c r="A15" s="16" t="inlineStr">
        <is>
          <t>Unified MRR</t>
        </is>
      </c>
      <c r="B15" s="22">
        <f>B10*ASSUMPTIONS!B12</f>
        <v/>
      </c>
      <c r="C15" s="22">
        <f>C10*ASSUMPTIONS!B12</f>
        <v/>
      </c>
      <c r="D15" s="22">
        <f>D10*ASSUMPTIONS!B12</f>
        <v/>
      </c>
      <c r="E15" s="22">
        <f>E10*ASSUMPTIONS!B12</f>
        <v/>
      </c>
      <c r="F15" s="22">
        <f>F10*ASSUMPTIONS!B12</f>
        <v/>
      </c>
      <c r="G15" s="22">
        <f>G10*ASSUMPTIONS!B12</f>
        <v/>
      </c>
      <c r="H15" s="22">
        <f>H10*ASSUMPTIONS!B12</f>
        <v/>
      </c>
      <c r="I15" s="22">
        <f>I10*ASSUMPTIONS!B12</f>
        <v/>
      </c>
      <c r="J15" s="22">
        <f>J10*ASSUMPTIONS!B12</f>
        <v/>
      </c>
      <c r="K15" s="22">
        <f>K10*ASSUMPTIONS!B12</f>
        <v/>
      </c>
      <c r="L15" s="22">
        <f>L10*ASSUMPTIONS!B12</f>
        <v/>
      </c>
      <c r="M15" s="22">
        <f>M10*ASSUMPTIONS!B12</f>
        <v/>
      </c>
      <c r="N15" s="32">
        <f>SUM(B15:M15)</f>
        <v/>
      </c>
    </row>
    <row r="16">
      <c r="A16" s="29" t="inlineStr">
        <is>
          <t>Total Consumer MRR</t>
        </is>
      </c>
      <c r="B16" s="49">
        <f>B13+B14+B15</f>
        <v/>
      </c>
      <c r="C16" s="49">
        <f>C13+C14+C15</f>
        <v/>
      </c>
      <c r="D16" s="49">
        <f>D13+D14+D15</f>
        <v/>
      </c>
      <c r="E16" s="49">
        <f>E13+E14+E15</f>
        <v/>
      </c>
      <c r="F16" s="49">
        <f>F13+F14+F15</f>
        <v/>
      </c>
      <c r="G16" s="49">
        <f>G13+G14+G15</f>
        <v/>
      </c>
      <c r="H16" s="49">
        <f>H13+H14+H15</f>
        <v/>
      </c>
      <c r="I16" s="49">
        <f>I13+I14+I15</f>
        <v/>
      </c>
      <c r="J16" s="49">
        <f>J13+J14+J15</f>
        <v/>
      </c>
      <c r="K16" s="49">
        <f>K13+K14+K15</f>
        <v/>
      </c>
      <c r="L16" s="49">
        <f>L13+L14+L15</f>
        <v/>
      </c>
      <c r="M16" s="49">
        <f>M13+M14+M15</f>
        <v/>
      </c>
      <c r="N16" s="49">
        <f>SUM(B16:M16)</f>
        <v/>
      </c>
    </row>
    <row r="17">
      <c r="A17" s="46" t="inlineStr">
        <is>
          <t>ENTERPRISE  MRR</t>
        </is>
      </c>
      <c r="B17" s="143" t="n"/>
      <c r="C17" s="143" t="n"/>
      <c r="D17" s="143" t="n"/>
      <c r="E17" s="143" t="n"/>
      <c r="F17" s="143" t="n"/>
      <c r="G17" s="143" t="n"/>
      <c r="H17" s="143" t="n"/>
      <c r="I17" s="143" t="n"/>
      <c r="J17" s="143" t="n"/>
      <c r="K17" s="143" t="n"/>
      <c r="L17" s="143" t="n"/>
      <c r="M17" s="143" t="n"/>
      <c r="N17" s="144" t="n"/>
    </row>
    <row r="18">
      <c r="A18" s="16" t="inlineStr">
        <is>
          <t>Enterprise Clients</t>
        </is>
      </c>
      <c r="B18" s="27" t="n">
        <v>2</v>
      </c>
      <c r="C18" s="27" t="n">
        <v>5</v>
      </c>
      <c r="D18" s="27" t="n">
        <v>25</v>
      </c>
      <c r="E18" s="27" t="n">
        <v>150</v>
      </c>
      <c r="F18" s="27" t="n">
        <v>200</v>
      </c>
      <c r="G18" s="27" t="n">
        <v>250</v>
      </c>
      <c r="H18" s="27" t="n">
        <v>333</v>
      </c>
      <c r="I18" s="27" t="n">
        <v>433</v>
      </c>
      <c r="J18" s="27" t="n">
        <v>567</v>
      </c>
      <c r="K18" s="27" t="n">
        <v>733</v>
      </c>
      <c r="L18" s="27" t="n">
        <v>933</v>
      </c>
      <c r="M18" s="27" t="n">
        <v>1167</v>
      </c>
      <c r="N18" s="48">
        <f>M18</f>
        <v/>
      </c>
    </row>
    <row r="19">
      <c r="A19" s="16" t="inlineStr">
        <is>
          <t>Avg Enterprise Price/Mo</t>
        </is>
      </c>
      <c r="B19" s="17" t="n">
        <v>10000</v>
      </c>
      <c r="C19" s="17" t="n">
        <v>10000</v>
      </c>
      <c r="D19" s="17" t="n">
        <v>12000</v>
      </c>
      <c r="E19" s="17" t="n">
        <v>15000</v>
      </c>
      <c r="F19" s="17" t="n">
        <v>15000</v>
      </c>
      <c r="G19" s="17" t="n">
        <v>15000</v>
      </c>
      <c r="H19" s="17" t="n">
        <v>15000</v>
      </c>
      <c r="I19" s="17" t="n">
        <v>15000</v>
      </c>
      <c r="J19" s="17" t="n">
        <v>17000</v>
      </c>
      <c r="K19" s="17" t="n">
        <v>15019</v>
      </c>
      <c r="L19" s="17" t="n">
        <v>15005</v>
      </c>
      <c r="M19" s="17" t="n">
        <v>14993</v>
      </c>
      <c r="N19" s="32">
        <f>AVERAGE(B19:M19)</f>
        <v/>
      </c>
    </row>
    <row r="20">
      <c r="A20" s="29" t="inlineStr">
        <is>
          <t>Enterprise MRR</t>
        </is>
      </c>
      <c r="B20" s="49">
        <f>B18*B19</f>
        <v/>
      </c>
      <c r="C20" s="49">
        <f>C18*C19</f>
        <v/>
      </c>
      <c r="D20" s="49">
        <f>D18*D19</f>
        <v/>
      </c>
      <c r="E20" s="49">
        <f>E18*E19</f>
        <v/>
      </c>
      <c r="F20" s="49">
        <f>F18*F19</f>
        <v/>
      </c>
      <c r="G20" s="49">
        <f>G18*G19</f>
        <v/>
      </c>
      <c r="H20" s="49">
        <f>H18*H19</f>
        <v/>
      </c>
      <c r="I20" s="49">
        <f>I18*I19</f>
        <v/>
      </c>
      <c r="J20" s="49">
        <f>J18*J19</f>
        <v/>
      </c>
      <c r="K20" s="49">
        <f>K18*K19</f>
        <v/>
      </c>
      <c r="L20" s="49">
        <f>L18*L19</f>
        <v/>
      </c>
      <c r="M20" s="49">
        <f>M18*M19</f>
        <v/>
      </c>
      <c r="N20" s="49">
        <f>SUM(B20:M20)</f>
        <v/>
      </c>
    </row>
    <row r="21">
      <c r="A21" s="14" t="inlineStr">
        <is>
          <t>TOTAL  MRR  &amp;  REVENUE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4" t="n"/>
    </row>
    <row r="22">
      <c r="A22" s="50" t="inlineStr">
        <is>
          <t>TOTAL MRR</t>
        </is>
      </c>
      <c r="B22" s="51">
        <f>B16+B20</f>
        <v/>
      </c>
      <c r="C22" s="51">
        <f>C16+C20</f>
        <v/>
      </c>
      <c r="D22" s="51">
        <f>D16+D20</f>
        <v/>
      </c>
      <c r="E22" s="51">
        <f>E16+E20</f>
        <v/>
      </c>
      <c r="F22" s="51">
        <f>F16+F20</f>
        <v/>
      </c>
      <c r="G22" s="51">
        <f>G16+G20</f>
        <v/>
      </c>
      <c r="H22" s="51">
        <f>H16+H20</f>
        <v/>
      </c>
      <c r="I22" s="51">
        <f>I16+I20</f>
        <v/>
      </c>
      <c r="J22" s="51">
        <f>J16+J20</f>
        <v/>
      </c>
      <c r="K22" s="51">
        <f>K16+K20</f>
        <v/>
      </c>
      <c r="L22" s="51">
        <f>L16+L20</f>
        <v/>
      </c>
      <c r="M22" s="51">
        <f>M16+M20</f>
        <v/>
      </c>
      <c r="N22" s="51">
        <f>SUM(B22:M22)</f>
        <v/>
      </c>
    </row>
    <row r="23">
      <c r="A23" s="16" t="inlineStr">
        <is>
          <t>ARR (MRR × 12)</t>
        </is>
      </c>
      <c r="B23" s="22">
        <f>B22*12</f>
        <v/>
      </c>
      <c r="C23" s="22">
        <f>C22*12</f>
        <v/>
      </c>
      <c r="D23" s="22">
        <f>D22*12</f>
        <v/>
      </c>
      <c r="E23" s="22">
        <f>E22*12</f>
        <v/>
      </c>
      <c r="F23" s="22">
        <f>F22*12</f>
        <v/>
      </c>
      <c r="G23" s="22">
        <f>G22*12</f>
        <v/>
      </c>
      <c r="H23" s="22">
        <f>H22*12</f>
        <v/>
      </c>
      <c r="I23" s="22">
        <f>I22*12</f>
        <v/>
      </c>
      <c r="J23" s="22">
        <f>J22*12</f>
        <v/>
      </c>
      <c r="K23" s="22">
        <f>K22*12</f>
        <v/>
      </c>
      <c r="L23" s="22">
        <f>L22*12</f>
        <v/>
      </c>
      <c r="M23" s="22">
        <f>M22*12</f>
        <v/>
      </c>
      <c r="N23" s="32">
        <f>M23</f>
        <v/>
      </c>
    </row>
    <row r="24">
      <c r="A24" s="16" t="inlineStr">
        <is>
          <t>MoM MRR Growth %</t>
        </is>
      </c>
      <c r="B24" s="38" t="inlineStr">
        <is>
          <t>N/A</t>
        </is>
      </c>
      <c r="C24" s="35">
        <f>IFERROR((C22-B22)/B22,0)</f>
        <v/>
      </c>
      <c r="D24" s="35">
        <f>IFERROR((D22-C22)/C22,0)</f>
        <v/>
      </c>
      <c r="E24" s="35">
        <f>IFERROR((E22-D22)/D22,0)</f>
        <v/>
      </c>
      <c r="F24" s="35">
        <f>IFERROR((F22-E22)/E22,0)</f>
        <v/>
      </c>
      <c r="G24" s="35">
        <f>IFERROR((G22-F22)/F22,0)</f>
        <v/>
      </c>
      <c r="H24" s="35">
        <f>IFERROR((H22-G22)/G22,0)</f>
        <v/>
      </c>
      <c r="I24" s="35">
        <f>IFERROR((I22-H22)/H22,0)</f>
        <v/>
      </c>
      <c r="J24" s="35">
        <f>IFERROR((J22-I22)/I22,0)</f>
        <v/>
      </c>
      <c r="K24" s="35">
        <f>IFERROR((K22-J22)/J22,0)</f>
        <v/>
      </c>
      <c r="L24" s="35">
        <f>IFERROR((L22-K22)/K22,0)</f>
        <v/>
      </c>
      <c r="M24" s="35">
        <f>IFERROR((M22-L22)/L22,0)</f>
        <v/>
      </c>
    </row>
    <row r="25">
      <c r="A25" s="14" t="inlineStr">
        <is>
          <t>MONTHLY  EXPENSES  (OPEX)</t>
        </is>
      </c>
      <c r="B25" s="143" t="n"/>
      <c r="C25" s="143" t="n"/>
      <c r="D25" s="143" t="n"/>
      <c r="E25" s="143" t="n"/>
      <c r="F25" s="143" t="n"/>
      <c r="G25" s="143" t="n"/>
      <c r="H25" s="143" t="n"/>
      <c r="I25" s="143" t="n"/>
      <c r="J25" s="143" t="n"/>
      <c r="K25" s="143" t="n"/>
      <c r="L25" s="143" t="n"/>
      <c r="M25" s="143" t="n"/>
      <c r="N25" s="144" t="n"/>
    </row>
    <row r="26">
      <c r="A26" s="16" t="inlineStr">
        <is>
          <t>Payroll</t>
        </is>
      </c>
      <c r="B26" s="17" t="n">
        <v>480000</v>
      </c>
      <c r="C26" s="17" t="n">
        <v>550000</v>
      </c>
      <c r="D26" s="17" t="n">
        <v>650000</v>
      </c>
      <c r="E26" s="17" t="n">
        <v>800000</v>
      </c>
      <c r="F26" s="17" t="n">
        <v>800000</v>
      </c>
      <c r="G26" s="17" t="n">
        <v>850000</v>
      </c>
      <c r="H26" s="17" t="n">
        <v>900000</v>
      </c>
      <c r="I26" s="17" t="n">
        <v>920000</v>
      </c>
      <c r="J26" s="17" t="n">
        <v>950000</v>
      </c>
      <c r="K26" s="17" t="n">
        <v>980000</v>
      </c>
      <c r="L26" s="17" t="n">
        <v>1000000</v>
      </c>
      <c r="M26" s="17" t="n">
        <v>1000000</v>
      </c>
      <c r="N26" s="32">
        <f>SUM(B26:M26)</f>
        <v/>
      </c>
    </row>
    <row r="27">
      <c r="A27" s="16" t="inlineStr">
        <is>
          <t>AI Compute (users × cost/user)</t>
        </is>
      </c>
      <c r="B27" s="22">
        <f>B11*VLOOKUP(B11,ASSUMPTIONS!$B$60:$C$65,2,TRUE)</f>
        <v/>
      </c>
      <c r="C27" s="22">
        <f>C11*VLOOKUP(C11,ASSUMPTIONS!$B$60:$C$65,2,TRUE)</f>
        <v/>
      </c>
      <c r="D27" s="22">
        <f>D11*VLOOKUP(D11,ASSUMPTIONS!$B$60:$C$65,2,TRUE)</f>
        <v/>
      </c>
      <c r="E27" s="22">
        <f>E11*VLOOKUP(E11,ASSUMPTIONS!$B$60:$C$65,2,TRUE)</f>
        <v/>
      </c>
      <c r="F27" s="22">
        <f>F11*VLOOKUP(F11,ASSUMPTIONS!$B$60:$C$65,2,TRUE)</f>
        <v/>
      </c>
      <c r="G27" s="22">
        <f>G11*VLOOKUP(G11,ASSUMPTIONS!$B$60:$C$65,2,TRUE)</f>
        <v/>
      </c>
      <c r="H27" s="22">
        <f>H11*VLOOKUP(H11,ASSUMPTIONS!$B$60:$C$65,2,TRUE)</f>
        <v/>
      </c>
      <c r="I27" s="22">
        <f>I11*VLOOKUP(I11,ASSUMPTIONS!$B$60:$C$65,2,TRUE)</f>
        <v/>
      </c>
      <c r="J27" s="22">
        <f>J11*VLOOKUP(J11,ASSUMPTIONS!$B$60:$C$65,2,TRUE)</f>
        <v/>
      </c>
      <c r="K27" s="22">
        <f>K11*VLOOKUP(K11,ASSUMPTIONS!$B$60:$C$65,2,TRUE)</f>
        <v/>
      </c>
      <c r="L27" s="22">
        <f>L11*VLOOKUP(L11,ASSUMPTIONS!$B$60:$C$65,2,TRUE)</f>
        <v/>
      </c>
      <c r="M27" s="22">
        <f>M11*VLOOKUP(M11,ASSUMPTIONS!$B$60:$C$65,2,TRUE)</f>
        <v/>
      </c>
      <c r="N27" s="32">
        <f>SUM(B27:M27)</f>
        <v/>
      </c>
    </row>
    <row r="28">
      <c r="A28" s="16" t="inlineStr">
        <is>
          <t>Marketing</t>
        </is>
      </c>
      <c r="B28" s="22">
        <f>B16*0.138</f>
        <v/>
      </c>
      <c r="C28" s="22">
        <f>C16*0.138</f>
        <v/>
      </c>
      <c r="D28" s="22">
        <f>D16*0.138</f>
        <v/>
      </c>
      <c r="E28" s="22">
        <f>E16*0.138</f>
        <v/>
      </c>
      <c r="F28" s="22">
        <f>F16*0.138</f>
        <v/>
      </c>
      <c r="G28" s="22">
        <f>G16*0.138</f>
        <v/>
      </c>
      <c r="H28" s="22">
        <f>H16*0.138</f>
        <v/>
      </c>
      <c r="I28" s="22">
        <f>I16*0.138</f>
        <v/>
      </c>
      <c r="J28" s="22">
        <f>J16*0.138</f>
        <v/>
      </c>
      <c r="K28" s="22">
        <f>K16*0.138</f>
        <v/>
      </c>
      <c r="L28" s="22">
        <f>L16*0.138</f>
        <v/>
      </c>
      <c r="M28" s="22">
        <f>M16*0.138</f>
        <v/>
      </c>
      <c r="N28" s="32">
        <f>SUM(B28:M28)</f>
        <v/>
      </c>
    </row>
    <row r="29">
      <c r="A29" s="16" t="inlineStr">
        <is>
          <t>Payment Processing (3% of MRR)</t>
        </is>
      </c>
      <c r="B29" s="22">
        <f>B22*ASSUMPTIONS!$B$59</f>
        <v/>
      </c>
      <c r="C29" s="22">
        <f>C22*ASSUMPTIONS!$B$59</f>
        <v/>
      </c>
      <c r="D29" s="22">
        <f>D22*ASSUMPTIONS!$B$59</f>
        <v/>
      </c>
      <c r="E29" s="22">
        <f>E22*ASSUMPTIONS!$B$59</f>
        <v/>
      </c>
      <c r="F29" s="22">
        <f>F22*ASSUMPTIONS!$B$59</f>
        <v/>
      </c>
      <c r="G29" s="22">
        <f>G22*ASSUMPTIONS!$B$59</f>
        <v/>
      </c>
      <c r="H29" s="22">
        <f>H22*ASSUMPTIONS!$B$59</f>
        <v/>
      </c>
      <c r="I29" s="22">
        <f>I22*ASSUMPTIONS!$B$59</f>
        <v/>
      </c>
      <c r="J29" s="22">
        <f>J22*ASSUMPTIONS!$B$59</f>
        <v/>
      </c>
      <c r="K29" s="22">
        <f>K22*ASSUMPTIONS!$B$59</f>
        <v/>
      </c>
      <c r="L29" s="22">
        <f>L22*ASSUMPTIONS!$B$59</f>
        <v/>
      </c>
      <c r="M29" s="22">
        <f>M22*ASSUMPTIONS!$B$59</f>
        <v/>
      </c>
      <c r="N29" s="32">
        <f>SUM(B29:M29)</f>
        <v/>
      </c>
    </row>
    <row r="30">
      <c r="A30" s="16" t="inlineStr">
        <is>
          <t>Office &amp; Ops</t>
        </is>
      </c>
      <c r="B30" s="17" t="n">
        <v>20000</v>
      </c>
      <c r="C30" s="17" t="n">
        <v>22000</v>
      </c>
      <c r="D30" s="17" t="n">
        <v>25000</v>
      </c>
      <c r="E30" s="17" t="n">
        <v>30000</v>
      </c>
      <c r="F30" s="17" t="n">
        <v>30000</v>
      </c>
      <c r="G30" s="17" t="n">
        <v>32000</v>
      </c>
      <c r="H30" s="17" t="n">
        <v>35000</v>
      </c>
      <c r="I30" s="17" t="n">
        <v>38000</v>
      </c>
      <c r="J30" s="17" t="n">
        <v>42000</v>
      </c>
      <c r="K30" s="17" t="n">
        <v>50000</v>
      </c>
      <c r="L30" s="17" t="n">
        <v>50000</v>
      </c>
      <c r="M30" s="17" t="n">
        <v>50000</v>
      </c>
      <c r="N30" s="32">
        <f>SUM(B30:M30)</f>
        <v/>
      </c>
    </row>
    <row r="31">
      <c r="A31" s="16" t="inlineStr">
        <is>
          <t>Legal</t>
        </is>
      </c>
      <c r="B31" s="17" t="n">
        <v>10000</v>
      </c>
      <c r="C31" s="17" t="n">
        <v>12000</v>
      </c>
      <c r="D31" s="17" t="n">
        <v>15000</v>
      </c>
      <c r="E31" s="17" t="n">
        <v>25000</v>
      </c>
      <c r="F31" s="17" t="n">
        <v>25000</v>
      </c>
      <c r="G31" s="17" t="n">
        <v>28000</v>
      </c>
      <c r="H31" s="17" t="n">
        <v>32000</v>
      </c>
      <c r="I31" s="17" t="n">
        <v>36000</v>
      </c>
      <c r="J31" s="17" t="n">
        <v>40000</v>
      </c>
      <c r="K31" s="17" t="n">
        <v>50000</v>
      </c>
      <c r="L31" s="17" t="n">
        <v>50000</v>
      </c>
      <c r="M31" s="17" t="n">
        <v>50000</v>
      </c>
      <c r="N31" s="32">
        <f>SUM(B31:M31)</f>
        <v/>
      </c>
    </row>
    <row r="32">
      <c r="A32" s="16" t="inlineStr">
        <is>
          <t>Misc/Contingency (5%)</t>
        </is>
      </c>
      <c r="B32" s="22">
        <f>(B26+B28+B27)*0.05</f>
        <v/>
      </c>
      <c r="C32" s="22">
        <f>(C26+C28+C27)*0.05</f>
        <v/>
      </c>
      <c r="D32" s="22">
        <f>(D26+D28+D27)*0.05</f>
        <v/>
      </c>
      <c r="E32" s="22">
        <f>(E26+E28+E27)*0.05</f>
        <v/>
      </c>
      <c r="F32" s="22">
        <f>(F26+F28+F27)*0.05</f>
        <v/>
      </c>
      <c r="G32" s="22">
        <f>(G26+G28+G27)*0.05</f>
        <v/>
      </c>
      <c r="H32" s="22">
        <f>(H26+H28+H27)*0.05</f>
        <v/>
      </c>
      <c r="I32" s="22">
        <f>(I26+I28+I27)*0.05</f>
        <v/>
      </c>
      <c r="J32" s="22">
        <f>(J26+J28+J27)*0.05</f>
        <v/>
      </c>
      <c r="K32" s="22">
        <f>(K26+K28+K27)*0.05</f>
        <v/>
      </c>
      <c r="L32" s="22">
        <f>(L26+L28+L27)*0.05</f>
        <v/>
      </c>
      <c r="M32" s="22">
        <f>(M26+M28+M27)*0.05</f>
        <v/>
      </c>
      <c r="N32" s="32">
        <f>SUM(B32:M32)</f>
        <v/>
      </c>
    </row>
    <row r="33">
      <c r="A33" s="52" t="inlineStr">
        <is>
          <t>TOTAL OPEX</t>
        </is>
      </c>
      <c r="B33" s="53">
        <f>B26+B27+B28+B29+B30+B31+B32</f>
        <v/>
      </c>
      <c r="C33" s="53">
        <f>C26+C27+C28+C29+C30+C31+C32</f>
        <v/>
      </c>
      <c r="D33" s="53">
        <f>D26+D27+D28+D29+D30+D31+D32</f>
        <v/>
      </c>
      <c r="E33" s="53">
        <f>E26+E27+E28+E29+E30+E31+E32</f>
        <v/>
      </c>
      <c r="F33" s="53">
        <f>F26+F27+F28+F29+F30+F31+F32</f>
        <v/>
      </c>
      <c r="G33" s="53">
        <f>G26+G27+G28+G29+G30+G31+G32</f>
        <v/>
      </c>
      <c r="H33" s="53">
        <f>H26+H27+H28+H29+H30+H31+H32</f>
        <v/>
      </c>
      <c r="I33" s="53">
        <f>I26+I27+I28+I29+I30+I31+I32</f>
        <v/>
      </c>
      <c r="J33" s="53">
        <f>J26+J27+J28+J29+J30+J31+J32</f>
        <v/>
      </c>
      <c r="K33" s="53">
        <f>K26+K27+K28+K29+K30+K31+K32</f>
        <v/>
      </c>
      <c r="L33" s="53">
        <f>L26+L27+L28+L29+L30+L31+L32</f>
        <v/>
      </c>
      <c r="M33" s="53">
        <f>M26+M27+M28+M29+M30+M31+M32</f>
        <v/>
      </c>
      <c r="N33" s="53">
        <f>SUM(B33:M33)</f>
        <v/>
      </c>
    </row>
    <row r="34">
      <c r="A34" s="14" t="inlineStr">
        <is>
          <t>GROSS PROFIT  &amp;  MARGINS</t>
        </is>
      </c>
      <c r="B34" s="143" t="n"/>
      <c r="C34" s="143" t="n"/>
      <c r="D34" s="143" t="n"/>
      <c r="E34" s="143" t="n"/>
      <c r="F34" s="143" t="n"/>
      <c r="G34" s="143" t="n"/>
      <c r="H34" s="143" t="n"/>
      <c r="I34" s="143" t="n"/>
      <c r="J34" s="143" t="n"/>
      <c r="K34" s="143" t="n"/>
      <c r="L34" s="143" t="n"/>
      <c r="M34" s="143" t="n"/>
      <c r="N34" s="144" t="n"/>
    </row>
    <row r="35">
      <c r="A35" s="16" t="inlineStr">
        <is>
          <t>COGS (Compute + Payment Proc)</t>
        </is>
      </c>
      <c r="B35" s="22">
        <f>B27+B29</f>
        <v/>
      </c>
      <c r="C35" s="22">
        <f>C27+C29</f>
        <v/>
      </c>
      <c r="D35" s="22">
        <f>D27+D29</f>
        <v/>
      </c>
      <c r="E35" s="22">
        <f>E27+E29</f>
        <v/>
      </c>
      <c r="F35" s="22">
        <f>F27+F29</f>
        <v/>
      </c>
      <c r="G35" s="22">
        <f>G27+G29</f>
        <v/>
      </c>
      <c r="H35" s="22">
        <f>H27+H29</f>
        <v/>
      </c>
      <c r="I35" s="22">
        <f>I27+I29</f>
        <v/>
      </c>
      <c r="J35" s="22">
        <f>J27+J29</f>
        <v/>
      </c>
      <c r="K35" s="22">
        <f>K27+K29</f>
        <v/>
      </c>
      <c r="L35" s="22">
        <f>L27+L29</f>
        <v/>
      </c>
      <c r="M35" s="22">
        <f>M27+M29</f>
        <v/>
      </c>
      <c r="N35" s="32">
        <f>SUM(B35:M35)</f>
        <v/>
      </c>
    </row>
    <row r="36">
      <c r="A36" s="50" t="inlineStr">
        <is>
          <t>Gross Profit</t>
        </is>
      </c>
      <c r="B36" s="51">
        <f>B22-B35</f>
        <v/>
      </c>
      <c r="C36" s="51">
        <f>C22-C35</f>
        <v/>
      </c>
      <c r="D36" s="51">
        <f>D22-D35</f>
        <v/>
      </c>
      <c r="E36" s="51">
        <f>E22-E35</f>
        <v/>
      </c>
      <c r="F36" s="51">
        <f>F22-F35</f>
        <v/>
      </c>
      <c r="G36" s="51">
        <f>G22-G35</f>
        <v/>
      </c>
      <c r="H36" s="51">
        <f>H22-H35</f>
        <v/>
      </c>
      <c r="I36" s="51">
        <f>I22-I35</f>
        <v/>
      </c>
      <c r="J36" s="51">
        <f>J22-J35</f>
        <v/>
      </c>
      <c r="K36" s="51">
        <f>K22-K35</f>
        <v/>
      </c>
      <c r="L36" s="51">
        <f>L22-L35</f>
        <v/>
      </c>
      <c r="M36" s="51">
        <f>M22-M35</f>
        <v/>
      </c>
      <c r="N36" s="51">
        <f>SUM(B36:M36)</f>
        <v/>
      </c>
    </row>
    <row r="37">
      <c r="A37" s="16" t="inlineStr">
        <is>
          <t>Gross Margin %</t>
        </is>
      </c>
      <c r="B37" s="54">
        <f>IFERROR(B36/B22,0)</f>
        <v/>
      </c>
      <c r="C37" s="54">
        <f>IFERROR(C36/C22,0)</f>
        <v/>
      </c>
      <c r="D37" s="54">
        <f>IFERROR(D36/D22,0)</f>
        <v/>
      </c>
      <c r="E37" s="54">
        <f>IFERROR(E36/E22,0)</f>
        <v/>
      </c>
      <c r="F37" s="54">
        <f>IFERROR(F36/F22,0)</f>
        <v/>
      </c>
      <c r="G37" s="54">
        <f>IFERROR(G36/G22,0)</f>
        <v/>
      </c>
      <c r="H37" s="54">
        <f>IFERROR(H36/H22,0)</f>
        <v/>
      </c>
      <c r="I37" s="54">
        <f>IFERROR(I36/I22,0)</f>
        <v/>
      </c>
      <c r="J37" s="54">
        <f>IFERROR(J36/J22,0)</f>
        <v/>
      </c>
      <c r="K37" s="54">
        <f>IFERROR(K36/K22,0)</f>
        <v/>
      </c>
      <c r="L37" s="54">
        <f>IFERROR(L36/L22,0)</f>
        <v/>
      </c>
      <c r="M37" s="54">
        <f>IFERROR(M36/M22,0)</f>
        <v/>
      </c>
      <c r="N37" s="54">
        <f>IFERROR(N36/N22,0)</f>
        <v/>
      </c>
    </row>
    <row r="38">
      <c r="A38" s="50" t="inlineStr">
        <is>
          <t>EBITDA</t>
        </is>
      </c>
      <c r="B38" s="51">
        <f>B36-(B26+B28+B30+B31+B32)</f>
        <v/>
      </c>
      <c r="C38" s="51">
        <f>C36-(C26+C28+C30+C31+C32)</f>
        <v/>
      </c>
      <c r="D38" s="51">
        <f>D36-(D26+D28+D30+D31+D32)</f>
        <v/>
      </c>
      <c r="E38" s="51">
        <f>E36-(E26+E28+E30+E31+E32)</f>
        <v/>
      </c>
      <c r="F38" s="51">
        <f>F36-(F26+F28+F30+F31+F32)</f>
        <v/>
      </c>
      <c r="G38" s="51">
        <f>G36-(G26+G28+G30+G31+G32)</f>
        <v/>
      </c>
      <c r="H38" s="51">
        <f>H36-(H26+H28+H30+H31+H32)</f>
        <v/>
      </c>
      <c r="I38" s="51">
        <f>I36-(I26+I28+I30+I31+I32)</f>
        <v/>
      </c>
      <c r="J38" s="51">
        <f>J36-(J26+J28+J30+J31+J32)</f>
        <v/>
      </c>
      <c r="K38" s="51">
        <f>K36-(K26+K28+K30+K31+K32)</f>
        <v/>
      </c>
      <c r="L38" s="51">
        <f>L36-(L26+L28+L30+L31+L32)</f>
        <v/>
      </c>
      <c r="M38" s="51">
        <f>M36-(M26+M28+M30+M31+M32)</f>
        <v/>
      </c>
      <c r="N38" s="51">
        <f>SUM(B38:M38)</f>
        <v/>
      </c>
    </row>
    <row r="39">
      <c r="A39" s="16" t="inlineStr">
        <is>
          <t>EBITDA Margin %</t>
        </is>
      </c>
      <c r="B39" s="54">
        <f>IFERROR(B38/B22,0)</f>
        <v/>
      </c>
      <c r="C39" s="54">
        <f>IFERROR(C38/C22,0)</f>
        <v/>
      </c>
      <c r="D39" s="54">
        <f>IFERROR(D38/D22,0)</f>
        <v/>
      </c>
      <c r="E39" s="54">
        <f>IFERROR(E38/E22,0)</f>
        <v/>
      </c>
      <c r="F39" s="54">
        <f>IFERROR(F38/F22,0)</f>
        <v/>
      </c>
      <c r="G39" s="54">
        <f>IFERROR(G38/G22,0)</f>
        <v/>
      </c>
      <c r="H39" s="54">
        <f>IFERROR(H38/H22,0)</f>
        <v/>
      </c>
      <c r="I39" s="54">
        <f>IFERROR(I38/I22,0)</f>
        <v/>
      </c>
      <c r="J39" s="54">
        <f>IFERROR(J38/J22,0)</f>
        <v/>
      </c>
      <c r="K39" s="54">
        <f>IFERROR(K38/K22,0)</f>
        <v/>
      </c>
      <c r="L39" s="54">
        <f>IFERROR(L38/L22,0)</f>
        <v/>
      </c>
      <c r="M39" s="54">
        <f>IFERROR(M38/M22,0)</f>
        <v/>
      </c>
      <c r="N39" s="54">
        <f>IFERROR(N38/N22,0)</f>
        <v/>
      </c>
    </row>
  </sheetData>
  <mergeCells count="9">
    <mergeCell ref="A17:N17"/>
    <mergeCell ref="A34:N34"/>
    <mergeCell ref="A12:N12"/>
    <mergeCell ref="A21:N21"/>
    <mergeCell ref="A2:N2"/>
    <mergeCell ref="A7:N7"/>
    <mergeCell ref="A25:N25"/>
    <mergeCell ref="A5:N5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R23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35" customHeight="1">
      <c r="A1" s="43" t="inlineStr">
        <is>
          <t>PUREBRAIN.AI  —  YEARS 2–5 QUARTERLY MODEL  (2027–2030)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3" t="n"/>
      <c r="O1" s="143" t="n"/>
      <c r="P1" s="143" t="n"/>
      <c r="Q1" s="143" t="n"/>
      <c r="R1" s="144" t="n"/>
    </row>
    <row r="2">
      <c r="A2" s="2" t="inlineStr">
        <is>
          <t>Base case shown. Use ASSUMPTIONS!B5 to switch scenarios. Quarterly growth interpolated from annual targets.</t>
        </is>
      </c>
    </row>
    <row r="4">
      <c r="A4" s="44" t="inlineStr">
        <is>
          <t>METRIC</t>
        </is>
      </c>
      <c r="B4" s="45" t="inlineStr">
        <is>
          <t>Q1 2027</t>
        </is>
      </c>
      <c r="C4" s="45" t="inlineStr">
        <is>
          <t>Q2 2027</t>
        </is>
      </c>
      <c r="D4" s="45" t="inlineStr">
        <is>
          <t>Q3 2027</t>
        </is>
      </c>
      <c r="E4" s="45" t="inlineStr">
        <is>
          <t>Q4 2027</t>
        </is>
      </c>
      <c r="F4" s="45" t="inlineStr">
        <is>
          <t>Q1 2028</t>
        </is>
      </c>
      <c r="G4" s="45" t="inlineStr">
        <is>
          <t>Q2 2028</t>
        </is>
      </c>
      <c r="H4" s="45" t="inlineStr">
        <is>
          <t>Q3 2028</t>
        </is>
      </c>
      <c r="I4" s="45" t="inlineStr">
        <is>
          <t>Q4 2028</t>
        </is>
      </c>
      <c r="J4" s="45" t="inlineStr">
        <is>
          <t>Q1 2029</t>
        </is>
      </c>
      <c r="K4" s="45" t="inlineStr">
        <is>
          <t>Q2 2029</t>
        </is>
      </c>
      <c r="L4" s="45" t="inlineStr">
        <is>
          <t>Q3 2029</t>
        </is>
      </c>
      <c r="M4" s="45" t="inlineStr">
        <is>
          <t>Q4 2029</t>
        </is>
      </c>
      <c r="N4" s="45" t="inlineStr">
        <is>
          <t>Q1 2030</t>
        </is>
      </c>
      <c r="O4" s="45" t="inlineStr">
        <is>
          <t>Q2 2030</t>
        </is>
      </c>
      <c r="P4" s="45" t="inlineStr">
        <is>
          <t>Q3 2030</t>
        </is>
      </c>
      <c r="Q4" s="45" t="inlineStr">
        <is>
          <t>Q4 2030</t>
        </is>
      </c>
      <c r="R4" s="15" t="inlineStr">
        <is>
          <t>5-YR CUMUL</t>
        </is>
      </c>
    </row>
    <row r="5">
      <c r="A5" s="46" t="inlineStr">
        <is>
          <t>QUARTERLY REVENUE</t>
        </is>
      </c>
      <c r="B5" s="143" t="n"/>
      <c r="C5" s="143" t="n"/>
      <c r="D5" s="143" t="n"/>
      <c r="E5" s="143" t="n"/>
      <c r="F5" s="143" t="n"/>
      <c r="G5" s="143" t="n"/>
      <c r="H5" s="143" t="n"/>
      <c r="I5" s="143" t="n"/>
      <c r="J5" s="143" t="n"/>
      <c r="K5" s="143" t="n"/>
      <c r="L5" s="143" t="n"/>
      <c r="M5" s="143" t="n"/>
      <c r="N5" s="143" t="n"/>
      <c r="O5" s="143" t="n"/>
      <c r="P5" s="143" t="n"/>
      <c r="Q5" s="143" t="n"/>
      <c r="R5" s="144" t="n"/>
    </row>
    <row r="6">
      <c r="A6" s="29" t="inlineStr">
        <is>
          <t>Monthly MRR Run Rate</t>
        </is>
      </c>
      <c r="B6" s="49" t="n">
        <v>350000000</v>
      </c>
      <c r="C6" s="49" t="n">
        <v>400000000</v>
      </c>
      <c r="D6" s="49" t="n">
        <v>450000000</v>
      </c>
      <c r="E6" s="49" t="n">
        <v>500000000</v>
      </c>
      <c r="F6" s="49" t="n">
        <v>750000000</v>
      </c>
      <c r="G6" s="49" t="n">
        <v>1000000000</v>
      </c>
      <c r="H6" s="49" t="n">
        <v>1250000000</v>
      </c>
      <c r="I6" s="49" t="n">
        <v>1275000000</v>
      </c>
      <c r="J6" s="49" t="n">
        <v>2100000000</v>
      </c>
      <c r="K6" s="49" t="n">
        <v>2500000000</v>
      </c>
      <c r="L6" s="49" t="n">
        <v>3000000000</v>
      </c>
      <c r="M6" s="49" t="n">
        <v>3500000000</v>
      </c>
      <c r="N6" s="49" t="n">
        <v>4000000000</v>
      </c>
      <c r="O6" s="49" t="n">
        <v>4200000000</v>
      </c>
      <c r="P6" s="49" t="n">
        <v>4400000000</v>
      </c>
      <c r="Q6" s="49" t="n">
        <v>4600000000</v>
      </c>
      <c r="R6" s="49">
        <f>SUM(B6:Q6)</f>
        <v/>
      </c>
    </row>
    <row r="7">
      <c r="A7" s="50" t="inlineStr">
        <is>
          <t>Quarterly Revenue (MRR×3)</t>
        </is>
      </c>
      <c r="B7" s="51" t="n">
        <v>1050000000</v>
      </c>
      <c r="C7" s="51" t="n">
        <v>1200000000</v>
      </c>
      <c r="D7" s="51" t="n">
        <v>1350000000</v>
      </c>
      <c r="E7" s="51" t="n">
        <v>1500000000</v>
      </c>
      <c r="F7" s="51" t="n">
        <v>2250000000</v>
      </c>
      <c r="G7" s="51" t="n">
        <v>3000000000</v>
      </c>
      <c r="H7" s="51" t="n">
        <v>3750000000</v>
      </c>
      <c r="I7" s="51" t="n">
        <v>3825000000</v>
      </c>
      <c r="J7" s="51" t="n">
        <v>6300000000</v>
      </c>
      <c r="K7" s="51" t="n">
        <v>7500000000</v>
      </c>
      <c r="L7" s="51" t="n">
        <v>9000000000</v>
      </c>
      <c r="M7" s="51" t="n">
        <v>10500000000</v>
      </c>
      <c r="N7" s="51" t="n">
        <v>12000000000</v>
      </c>
      <c r="O7" s="51" t="n">
        <v>12600000000</v>
      </c>
      <c r="P7" s="51" t="n">
        <v>13200000000</v>
      </c>
      <c r="Q7" s="51" t="n">
        <v>13800000000</v>
      </c>
      <c r="R7" s="51">
        <f>SUM(B7:Q7)</f>
        <v/>
      </c>
    </row>
    <row r="8">
      <c r="A8" s="16" t="inlineStr">
        <is>
          <t>Active Subscribers (EOP)</t>
        </is>
      </c>
      <c r="B8" s="55" t="n">
        <v>600000</v>
      </c>
      <c r="C8" s="55" t="n">
        <v>700000</v>
      </c>
      <c r="D8" s="55" t="n">
        <v>850000</v>
      </c>
      <c r="E8" s="55" t="n">
        <v>1000000</v>
      </c>
      <c r="F8" s="55" t="n">
        <v>2000000</v>
      </c>
      <c r="G8" s="55" t="n">
        <v>3000000</v>
      </c>
      <c r="H8" s="55" t="n">
        <v>4000000</v>
      </c>
      <c r="I8" s="55" t="n">
        <v>5000000</v>
      </c>
      <c r="J8" s="55" t="n">
        <v>8000000</v>
      </c>
      <c r="K8" s="55" t="n">
        <v>10000000</v>
      </c>
      <c r="L8" s="55" t="n">
        <v>13000000</v>
      </c>
      <c r="M8" s="55" t="n">
        <v>17000000</v>
      </c>
      <c r="N8" s="55" t="n">
        <v>20000000</v>
      </c>
      <c r="O8" s="55" t="n">
        <v>22000000</v>
      </c>
      <c r="P8" s="55" t="n">
        <v>24000000</v>
      </c>
      <c r="Q8" s="55" t="n">
        <v>26000000</v>
      </c>
      <c r="R8" s="55">
        <f>SUM(B8:Q8)</f>
        <v/>
      </c>
    </row>
    <row r="9">
      <c r="A9" s="16" t="inlineStr">
        <is>
          <t>QoQ MRR Growth %</t>
        </is>
      </c>
      <c r="B9" s="35">
        <f>IFERROR((B5-186629459)/186629459,0)</f>
        <v/>
      </c>
      <c r="C9" s="35">
        <f>IFERROR((C6-B6)/B6,0)</f>
        <v/>
      </c>
      <c r="D9" s="35">
        <f>IFERROR((D6-C6)/C6,0)</f>
        <v/>
      </c>
      <c r="E9" s="35">
        <f>IFERROR((E6-D6)/D6,0)</f>
        <v/>
      </c>
      <c r="F9" s="35">
        <f>IFERROR((F6-E6)/E6,0)</f>
        <v/>
      </c>
      <c r="G9" s="35">
        <f>IFERROR((G6-F6)/F6,0)</f>
        <v/>
      </c>
      <c r="H9" s="35">
        <f>IFERROR((H6-G6)/G6,0)</f>
        <v/>
      </c>
      <c r="I9" s="35">
        <f>IFERROR((I6-H6)/H6,0)</f>
        <v/>
      </c>
      <c r="J9" s="35">
        <f>IFERROR((J6-I6)/I6,0)</f>
        <v/>
      </c>
      <c r="K9" s="35">
        <f>IFERROR((K6-J6)/J6,0)</f>
        <v/>
      </c>
      <c r="L9" s="35">
        <f>IFERROR((L6-K6)/K6,0)</f>
        <v/>
      </c>
      <c r="M9" s="35">
        <f>IFERROR((M6-L6)/L6,0)</f>
        <v/>
      </c>
      <c r="N9" s="35">
        <f>IFERROR((N6-M6)/M6,0)</f>
        <v/>
      </c>
      <c r="O9" s="35">
        <f>IFERROR((O6-N6)/N6,0)</f>
        <v/>
      </c>
      <c r="P9" s="35">
        <f>IFERROR((P6-O6)/O6,0)</f>
        <v/>
      </c>
      <c r="Q9" s="35">
        <f>IFERROR((Q6-P6)/P6,0)</f>
        <v/>
      </c>
      <c r="R9" s="54">
        <f>AVERAGE(C9:Q9)</f>
        <v/>
      </c>
    </row>
    <row r="10">
      <c r="A10" s="14" t="inlineStr">
        <is>
          <t>P&amp;L SUMMARY</t>
        </is>
      </c>
      <c r="B10" s="143" t="n"/>
      <c r="C10" s="143" t="n"/>
      <c r="D10" s="143" t="n"/>
      <c r="E10" s="143" t="n"/>
      <c r="F10" s="143" t="n"/>
      <c r="G10" s="143" t="n"/>
      <c r="H10" s="143" t="n"/>
      <c r="I10" s="143" t="n"/>
      <c r="J10" s="143" t="n"/>
      <c r="K10" s="143" t="n"/>
      <c r="L10" s="143" t="n"/>
      <c r="M10" s="143" t="n"/>
      <c r="N10" s="143" t="n"/>
      <c r="O10" s="143" t="n"/>
      <c r="P10" s="143" t="n"/>
      <c r="Q10" s="143" t="n"/>
      <c r="R10" s="144" t="n"/>
    </row>
    <row r="11">
      <c r="A11" s="29" t="inlineStr">
        <is>
          <t>Total Revenue</t>
        </is>
      </c>
      <c r="B11" s="49" t="n">
        <v>1050000000</v>
      </c>
      <c r="C11" s="49" t="n">
        <v>1200000000</v>
      </c>
      <c r="D11" s="49" t="n">
        <v>1350000000</v>
      </c>
      <c r="E11" s="49" t="n">
        <v>1500000000</v>
      </c>
      <c r="F11" s="49" t="n">
        <v>2250000000</v>
      </c>
      <c r="G11" s="49" t="n">
        <v>3000000000</v>
      </c>
      <c r="H11" s="49" t="n">
        <v>3750000000</v>
      </c>
      <c r="I11" s="49" t="n">
        <v>3825000000</v>
      </c>
      <c r="J11" s="49" t="n">
        <v>6300000000</v>
      </c>
      <c r="K11" s="49" t="n">
        <v>7500000000</v>
      </c>
      <c r="L11" s="49" t="n">
        <v>9000000000</v>
      </c>
      <c r="M11" s="49" t="n">
        <v>10500000000</v>
      </c>
      <c r="N11" s="49" t="n">
        <v>12000000000</v>
      </c>
      <c r="O11" s="49" t="n">
        <v>12600000000</v>
      </c>
      <c r="P11" s="49" t="n">
        <v>13200000000</v>
      </c>
      <c r="Q11" s="49" t="n">
        <v>13800000000</v>
      </c>
      <c r="R11" s="49">
        <f>SUM(B11:Q11)</f>
        <v/>
      </c>
    </row>
    <row r="12">
      <c r="A12" s="56" t="inlineStr">
        <is>
          <t>COGS</t>
        </is>
      </c>
      <c r="B12" s="57" t="n">
        <v>210000000</v>
      </c>
      <c r="C12" s="57" t="n">
        <v>227999999.9999999</v>
      </c>
      <c r="D12" s="57" t="n">
        <v>243000000</v>
      </c>
      <c r="E12" s="57" t="n">
        <v>255000000</v>
      </c>
      <c r="F12" s="57" t="n">
        <v>382500000</v>
      </c>
      <c r="G12" s="57" t="n">
        <v>480000000</v>
      </c>
      <c r="H12" s="57" t="n">
        <v>600000000</v>
      </c>
      <c r="I12" s="57" t="n">
        <v>573750000</v>
      </c>
      <c r="J12" s="57" t="n">
        <v>945000000</v>
      </c>
      <c r="K12" s="57" t="n">
        <v>1125000000</v>
      </c>
      <c r="L12" s="57" t="n">
        <v>1260000000</v>
      </c>
      <c r="M12" s="57" t="n">
        <v>1470000000</v>
      </c>
      <c r="N12" s="57" t="n">
        <v>1680000000</v>
      </c>
      <c r="O12" s="57" t="n">
        <v>1638000000</v>
      </c>
      <c r="P12" s="57" t="n">
        <v>1716000000</v>
      </c>
      <c r="Q12" s="57" t="n">
        <v>1794000000</v>
      </c>
      <c r="R12" s="58">
        <f>SUM(B12:Q12)</f>
        <v/>
      </c>
    </row>
    <row r="13">
      <c r="A13" s="50" t="inlineStr">
        <is>
          <t>Gross Profit</t>
        </is>
      </c>
      <c r="B13" s="51" t="n">
        <v>840000000</v>
      </c>
      <c r="C13" s="51" t="n">
        <v>972000000.0000001</v>
      </c>
      <c r="D13" s="51" t="n">
        <v>1107000000</v>
      </c>
      <c r="E13" s="51" t="n">
        <v>1245000000</v>
      </c>
      <c r="F13" s="51" t="n">
        <v>1867500000</v>
      </c>
      <c r="G13" s="51" t="n">
        <v>2520000000</v>
      </c>
      <c r="H13" s="51" t="n">
        <v>3150000000</v>
      </c>
      <c r="I13" s="51" t="n">
        <v>3251250000</v>
      </c>
      <c r="J13" s="51" t="n">
        <v>5355000000</v>
      </c>
      <c r="K13" s="51" t="n">
        <v>6375000000</v>
      </c>
      <c r="L13" s="51" t="n">
        <v>7740000000</v>
      </c>
      <c r="M13" s="51" t="n">
        <v>9030000000</v>
      </c>
      <c r="N13" s="51" t="n">
        <v>10320000000</v>
      </c>
      <c r="O13" s="51" t="n">
        <v>10962000000</v>
      </c>
      <c r="P13" s="51" t="n">
        <v>11484000000</v>
      </c>
      <c r="Q13" s="51" t="n">
        <v>12006000000</v>
      </c>
      <c r="R13" s="51">
        <f>SUM(B13:Q13)</f>
        <v/>
      </c>
    </row>
    <row r="14">
      <c r="A14" s="56" t="inlineStr">
        <is>
          <t>Gross Margin %</t>
        </is>
      </c>
      <c r="B14" s="59" t="n">
        <v>0.8</v>
      </c>
      <c r="C14" s="59" t="n">
        <v>0.8100000000000001</v>
      </c>
      <c r="D14" s="59" t="n">
        <v>0.82</v>
      </c>
      <c r="E14" s="59" t="n">
        <v>0.83</v>
      </c>
      <c r="F14" s="59" t="n">
        <v>0.83</v>
      </c>
      <c r="G14" s="59" t="n">
        <v>0.84</v>
      </c>
      <c r="H14" s="59" t="n">
        <v>0.84</v>
      </c>
      <c r="I14" s="59" t="n">
        <v>0.85</v>
      </c>
      <c r="J14" s="59" t="n">
        <v>0.85</v>
      </c>
      <c r="K14" s="59" t="n">
        <v>0.85</v>
      </c>
      <c r="L14" s="59" t="n">
        <v>0.86</v>
      </c>
      <c r="M14" s="59" t="n">
        <v>0.86</v>
      </c>
      <c r="N14" s="59" t="n">
        <v>0.86</v>
      </c>
      <c r="O14" s="59" t="n">
        <v>0.87</v>
      </c>
      <c r="P14" s="59" t="n">
        <v>0.87</v>
      </c>
      <c r="Q14" s="59" t="n">
        <v>0.87</v>
      </c>
      <c r="R14" s="60">
        <f>AVERAGE(B14:Q14)</f>
        <v/>
      </c>
    </row>
    <row r="15">
      <c r="A15" s="56" t="inlineStr">
        <is>
          <t>Operating Expenses</t>
        </is>
      </c>
      <c r="B15" s="57" t="n">
        <v>210000000</v>
      </c>
      <c r="C15" s="57" t="n">
        <v>228000000.0000001</v>
      </c>
      <c r="D15" s="57" t="n">
        <v>243000000</v>
      </c>
      <c r="E15" s="57" t="n">
        <v>255000000</v>
      </c>
      <c r="F15" s="57" t="n">
        <v>360000000</v>
      </c>
      <c r="G15" s="57" t="n">
        <v>479999999.9999998</v>
      </c>
      <c r="H15" s="57" t="n">
        <v>562500000</v>
      </c>
      <c r="I15" s="57" t="n">
        <v>573750000</v>
      </c>
      <c r="J15" s="57" t="n">
        <v>945000000</v>
      </c>
      <c r="K15" s="57" t="n">
        <v>1050000000</v>
      </c>
      <c r="L15" s="57" t="n">
        <v>1350000000</v>
      </c>
      <c r="M15" s="57" t="n">
        <v>1470000000</v>
      </c>
      <c r="N15" s="57" t="n">
        <v>1680000000</v>
      </c>
      <c r="O15" s="57" t="n">
        <v>1890000000</v>
      </c>
      <c r="P15" s="57" t="n">
        <v>1848000000</v>
      </c>
      <c r="Q15" s="57" t="n">
        <v>1932000000</v>
      </c>
      <c r="R15" s="58">
        <f>SUM(B15:Q15)</f>
        <v/>
      </c>
    </row>
    <row r="16">
      <c r="A16" s="50" t="inlineStr">
        <is>
          <t>EBITDA</t>
        </is>
      </c>
      <c r="B16" s="51" t="n">
        <v>630000000</v>
      </c>
      <c r="C16" s="51" t="n">
        <v>744000000</v>
      </c>
      <c r="D16" s="51" t="n">
        <v>864000000</v>
      </c>
      <c r="E16" s="51" t="n">
        <v>990000000</v>
      </c>
      <c r="F16" s="51" t="n">
        <v>1507500000</v>
      </c>
      <c r="G16" s="51" t="n">
        <v>2040000000</v>
      </c>
      <c r="H16" s="51" t="n">
        <v>2587500000</v>
      </c>
      <c r="I16" s="51" t="n">
        <v>2677500000</v>
      </c>
      <c r="J16" s="51" t="n">
        <v>4410000000</v>
      </c>
      <c r="K16" s="51" t="n">
        <v>5325000000</v>
      </c>
      <c r="L16" s="51" t="n">
        <v>6390000000</v>
      </c>
      <c r="M16" s="51" t="n">
        <v>7560000000</v>
      </c>
      <c r="N16" s="51" t="n">
        <v>8640000000</v>
      </c>
      <c r="O16" s="51" t="n">
        <v>9072000000</v>
      </c>
      <c r="P16" s="51" t="n">
        <v>9636000000</v>
      </c>
      <c r="Q16" s="51" t="n">
        <v>10074000000</v>
      </c>
      <c r="R16" s="51">
        <f>SUM(B16:Q16)</f>
        <v/>
      </c>
    </row>
    <row r="17">
      <c r="A17" s="56" t="inlineStr">
        <is>
          <t>EBITDA Margin %</t>
        </is>
      </c>
      <c r="B17" s="59" t="n">
        <v>0.6</v>
      </c>
      <c r="C17" s="59" t="n">
        <v>0.62</v>
      </c>
      <c r="D17" s="59" t="n">
        <v>0.64</v>
      </c>
      <c r="E17" s="59" t="n">
        <v>0.66</v>
      </c>
      <c r="F17" s="59" t="n">
        <v>0.67</v>
      </c>
      <c r="G17" s="59" t="n">
        <v>0.68</v>
      </c>
      <c r="H17" s="59" t="n">
        <v>0.6899999999999999</v>
      </c>
      <c r="I17" s="59" t="n">
        <v>0.7</v>
      </c>
      <c r="J17" s="59" t="n">
        <v>0.7</v>
      </c>
      <c r="K17" s="59" t="n">
        <v>0.71</v>
      </c>
      <c r="L17" s="59" t="n">
        <v>0.71</v>
      </c>
      <c r="M17" s="59" t="n">
        <v>0.72</v>
      </c>
      <c r="N17" s="59" t="n">
        <v>0.72</v>
      </c>
      <c r="O17" s="59" t="n">
        <v>0.72</v>
      </c>
      <c r="P17" s="59" t="n">
        <v>0.73</v>
      </c>
      <c r="Q17" s="59" t="n">
        <v>0.73</v>
      </c>
      <c r="R17" s="60">
        <f>AVERAGE(B17:Q17)</f>
        <v/>
      </c>
    </row>
    <row r="18">
      <c r="A18" s="14" t="inlineStr">
        <is>
          <t>KEY SAAS METRICS</t>
        </is>
      </c>
      <c r="B18" s="143" t="n"/>
      <c r="C18" s="143" t="n"/>
      <c r="D18" s="143" t="n"/>
      <c r="E18" s="143" t="n"/>
      <c r="F18" s="143" t="n"/>
      <c r="G18" s="143" t="n"/>
      <c r="H18" s="143" t="n"/>
      <c r="I18" s="143" t="n"/>
      <c r="J18" s="143" t="n"/>
      <c r="K18" s="143" t="n"/>
      <c r="L18" s="143" t="n"/>
      <c r="M18" s="143" t="n"/>
      <c r="N18" s="143" t="n"/>
      <c r="O18" s="143" t="n"/>
      <c r="P18" s="143" t="n"/>
      <c r="Q18" s="143" t="n"/>
      <c r="R18" s="144" t="n"/>
    </row>
    <row r="19">
      <c r="A19" s="56" t="inlineStr">
        <is>
          <t>Blended ARPU/Month</t>
        </is>
      </c>
      <c r="B19" s="61" t="n">
        <v>583.3333333333334</v>
      </c>
      <c r="C19" s="61" t="n">
        <v>571.4285714285714</v>
      </c>
      <c r="D19" s="61" t="n">
        <v>529.4117647058823</v>
      </c>
      <c r="E19" s="61" t="n">
        <v>500</v>
      </c>
      <c r="F19" s="61" t="n">
        <v>375</v>
      </c>
      <c r="G19" s="61" t="n">
        <v>333.3333333333333</v>
      </c>
      <c r="H19" s="61" t="n">
        <v>312.5</v>
      </c>
      <c r="I19" s="61" t="n">
        <v>255</v>
      </c>
      <c r="J19" s="61" t="n">
        <v>262.5</v>
      </c>
      <c r="K19" s="61" t="n">
        <v>250</v>
      </c>
      <c r="L19" s="61" t="n">
        <v>230.7692307692308</v>
      </c>
      <c r="M19" s="61" t="n">
        <v>205.8823529411765</v>
      </c>
      <c r="N19" s="61" t="n">
        <v>200</v>
      </c>
      <c r="O19" s="61" t="n">
        <v>190.9090909090909</v>
      </c>
      <c r="P19" s="61" t="n">
        <v>183.3333333333333</v>
      </c>
      <c r="Q19" s="61" t="n">
        <v>176.9230769230769</v>
      </c>
      <c r="R19" s="62">
        <f>AVERAGE(B19:Q19)</f>
        <v/>
      </c>
    </row>
    <row r="20">
      <c r="A20" s="56" t="inlineStr">
        <is>
          <t>CAC</t>
        </is>
      </c>
      <c r="B20" s="57" t="n">
        <v>45</v>
      </c>
      <c r="C20" s="57" t="n">
        <v>40</v>
      </c>
      <c r="D20" s="57" t="n">
        <v>35</v>
      </c>
      <c r="E20" s="57" t="n">
        <v>30</v>
      </c>
      <c r="F20" s="57" t="n">
        <v>28</v>
      </c>
      <c r="G20" s="57" t="n">
        <v>25</v>
      </c>
      <c r="H20" s="57" t="n">
        <v>23</v>
      </c>
      <c r="I20" s="57" t="n">
        <v>22</v>
      </c>
      <c r="J20" s="57" t="n">
        <v>21</v>
      </c>
      <c r="K20" s="57" t="n">
        <v>20</v>
      </c>
      <c r="L20" s="57" t="n">
        <v>20</v>
      </c>
      <c r="M20" s="57" t="n">
        <v>20</v>
      </c>
      <c r="N20" s="57" t="n">
        <v>20</v>
      </c>
      <c r="O20" s="57" t="n">
        <v>20</v>
      </c>
      <c r="P20" s="57" t="n">
        <v>20</v>
      </c>
      <c r="Q20" s="57" t="n">
        <v>20</v>
      </c>
      <c r="R20" s="58">
        <f>AVERAGE(B20:Q20)</f>
        <v/>
      </c>
    </row>
    <row r="21">
      <c r="A21" s="56" t="inlineStr">
        <is>
          <t>LTV (blended)</t>
        </is>
      </c>
      <c r="B21" s="57" t="n">
        <v>16666.66666666667</v>
      </c>
      <c r="C21" s="57" t="n">
        <v>16326.5306122449</v>
      </c>
      <c r="D21" s="57" t="n">
        <v>15126.05042016807</v>
      </c>
      <c r="E21" s="57" t="n">
        <v>14285.71428571428</v>
      </c>
      <c r="F21" s="57" t="n">
        <v>10714.28571428571</v>
      </c>
      <c r="G21" s="57" t="n">
        <v>9523.809523809523</v>
      </c>
      <c r="H21" s="57" t="n">
        <v>8928.571428571428</v>
      </c>
      <c r="I21" s="57" t="n">
        <v>7285.714285714285</v>
      </c>
      <c r="J21" s="57" t="n">
        <v>7499.999999999999</v>
      </c>
      <c r="K21" s="57" t="n">
        <v>7142.857142857142</v>
      </c>
      <c r="L21" s="57" t="n">
        <v>6593.406593406593</v>
      </c>
      <c r="M21" s="57" t="n">
        <v>5882.35294117647</v>
      </c>
      <c r="N21" s="57" t="n">
        <v>5714.285714285714</v>
      </c>
      <c r="O21" s="57" t="n">
        <v>5454.545454545454</v>
      </c>
      <c r="P21" s="57" t="n">
        <v>5238.095238095238</v>
      </c>
      <c r="Q21" s="57" t="n">
        <v>5054.945054945055</v>
      </c>
      <c r="R21" s="58">
        <f>AVERAGE(B21:Q21)</f>
        <v/>
      </c>
    </row>
    <row r="22">
      <c r="A22" s="56" t="inlineStr">
        <is>
          <t>LTV:CAC Ratio</t>
        </is>
      </c>
      <c r="B22" s="63" t="n">
        <v>370.3703703703704</v>
      </c>
      <c r="C22" s="63" t="n">
        <v>408.1632653061224</v>
      </c>
      <c r="D22" s="63" t="n">
        <v>432.172869147659</v>
      </c>
      <c r="E22" s="63" t="n">
        <v>476.1904761904761</v>
      </c>
      <c r="F22" s="63" t="n">
        <v>382.6530612244898</v>
      </c>
      <c r="G22" s="63" t="n">
        <v>380.9523809523809</v>
      </c>
      <c r="H22" s="63" t="n">
        <v>388.1987577639751</v>
      </c>
      <c r="I22" s="63" t="n">
        <v>331.1688311688312</v>
      </c>
      <c r="J22" s="63" t="n">
        <v>357.1428571428571</v>
      </c>
      <c r="K22" s="63" t="n">
        <v>357.1428571428571</v>
      </c>
      <c r="L22" s="63" t="n">
        <v>329.6703296703296</v>
      </c>
      <c r="M22" s="63" t="n">
        <v>294.1176470588235</v>
      </c>
      <c r="N22" s="63" t="n">
        <v>285.7142857142857</v>
      </c>
      <c r="O22" s="63" t="n">
        <v>272.7272727272727</v>
      </c>
      <c r="P22" s="63" t="n">
        <v>261.9047619047619</v>
      </c>
      <c r="Q22" s="63" t="n">
        <v>252.7472527472527</v>
      </c>
      <c r="R22" s="64">
        <f>AVERAGE(B22:Q22)</f>
        <v/>
      </c>
    </row>
    <row r="23">
      <c r="A23" s="56" t="inlineStr">
        <is>
          <t>Net Revenue Retention</t>
        </is>
      </c>
      <c r="B23" s="59" t="n">
        <v>1.12</v>
      </c>
      <c r="C23" s="59" t="n">
        <v>1.13</v>
      </c>
      <c r="D23" s="59" t="n">
        <v>1.14</v>
      </c>
      <c r="E23" s="59" t="n">
        <v>1.15</v>
      </c>
      <c r="F23" s="59" t="n">
        <v>1.16</v>
      </c>
      <c r="G23" s="59" t="n">
        <v>1.17</v>
      </c>
      <c r="H23" s="59" t="n">
        <v>1.18</v>
      </c>
      <c r="I23" s="59" t="n">
        <v>1.19</v>
      </c>
      <c r="J23" s="59" t="n">
        <v>1.2</v>
      </c>
      <c r="K23" s="59" t="n">
        <v>1.21</v>
      </c>
      <c r="L23" s="59" t="n">
        <v>1.22</v>
      </c>
      <c r="M23" s="59" t="n">
        <v>1.23</v>
      </c>
      <c r="N23" s="59" t="n">
        <v>1.24</v>
      </c>
      <c r="O23" s="59" t="n">
        <v>1.24</v>
      </c>
      <c r="P23" s="59" t="n">
        <v>1.25</v>
      </c>
      <c r="Q23" s="59" t="n">
        <v>1.25</v>
      </c>
      <c r="R23" s="60">
        <f>AVERAGE(B23:Q23)</f>
        <v/>
      </c>
    </row>
  </sheetData>
  <mergeCells count="5">
    <mergeCell ref="A2:R2"/>
    <mergeCell ref="A10:R10"/>
    <mergeCell ref="A1:R1"/>
    <mergeCell ref="A5:R5"/>
    <mergeCell ref="A18:R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/>
  </sheetPr>
  <dimension ref="A1:N3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5" customHeight="1">
      <c r="A1" s="43" t="inlineStr">
        <is>
          <t>PUREBRAIN.AI  —  INCOME STATEMENT  |  GAAP-FORMAT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3" t="n"/>
      <c r="K1" s="143" t="n"/>
      <c r="L1" s="143" t="n"/>
      <c r="M1" s="143" t="n"/>
      <c r="N1" s="144" t="n"/>
    </row>
    <row r="3">
      <c r="A3" s="44" t="inlineStr">
        <is>
          <t>LINE ITEM</t>
        </is>
      </c>
      <c r="B3" s="45" t="inlineStr">
        <is>
          <t>Mar-26</t>
        </is>
      </c>
      <c r="C3" s="45" t="inlineStr">
        <is>
          <t>Apr-26</t>
        </is>
      </c>
      <c r="D3" s="45" t="inlineStr">
        <is>
          <t>May-26</t>
        </is>
      </c>
      <c r="E3" s="45" t="inlineStr">
        <is>
          <t>Jun-26</t>
        </is>
      </c>
      <c r="F3" s="45" t="inlineStr">
        <is>
          <t>Jul-26</t>
        </is>
      </c>
      <c r="G3" s="45" t="inlineStr">
        <is>
          <t>Aug-26</t>
        </is>
      </c>
      <c r="H3" s="45" t="inlineStr">
        <is>
          <t>Sep-26</t>
        </is>
      </c>
      <c r="I3" s="45" t="inlineStr">
        <is>
          <t>Oct-26</t>
        </is>
      </c>
      <c r="J3" s="45" t="inlineStr">
        <is>
          <t>Nov-26</t>
        </is>
      </c>
      <c r="K3" s="45" t="inlineStr">
        <is>
          <t>Dec-26</t>
        </is>
      </c>
      <c r="L3" s="45" t="inlineStr">
        <is>
          <t>Jan-27</t>
        </is>
      </c>
      <c r="M3" s="45" t="inlineStr">
        <is>
          <t>Feb-27</t>
        </is>
      </c>
      <c r="N3" s="65" t="inlineStr">
        <is>
          <t>FY 2026</t>
        </is>
      </c>
    </row>
    <row r="4">
      <c r="A4" s="46" t="inlineStr">
        <is>
          <t>REVENUE</t>
        </is>
      </c>
      <c r="B4" s="143" t="n"/>
      <c r="C4" s="143" t="n"/>
      <c r="D4" s="143" t="n"/>
      <c r="E4" s="143" t="n"/>
      <c r="F4" s="143" t="n"/>
      <c r="G4" s="143" t="n"/>
      <c r="H4" s="143" t="n"/>
      <c r="I4" s="143" t="n"/>
      <c r="J4" s="143" t="n"/>
      <c r="K4" s="143" t="n"/>
      <c r="L4" s="143" t="n"/>
      <c r="M4" s="143" t="n"/>
      <c r="N4" s="144" t="n"/>
    </row>
    <row r="5">
      <c r="A5" s="66" t="inlineStr">
        <is>
          <t xml:space="preserve">    Consumer Subscription Revenue</t>
        </is>
      </c>
      <c r="B5" s="57" t="n">
        <v>33786</v>
      </c>
      <c r="C5" s="57" t="n">
        <v>360614</v>
      </c>
      <c r="D5" s="57" t="n">
        <v>3443897</v>
      </c>
      <c r="E5" s="57" t="n">
        <v>33950594</v>
      </c>
      <c r="F5" s="57" t="n">
        <v>43049286</v>
      </c>
      <c r="G5" s="57" t="n">
        <v>53545226</v>
      </c>
      <c r="H5" s="57" t="n">
        <v>66092957</v>
      </c>
      <c r="I5" s="57" t="n">
        <v>80647850</v>
      </c>
      <c r="J5" s="57" t="n">
        <v>97721594</v>
      </c>
      <c r="K5" s="57" t="n">
        <v>117779512</v>
      </c>
      <c r="L5" s="57" t="n">
        <v>141394074</v>
      </c>
      <c r="M5" s="57" t="n">
        <v>169129459</v>
      </c>
      <c r="N5" s="67" t="n">
        <v>807148849</v>
      </c>
    </row>
    <row r="6">
      <c r="A6" s="66" t="inlineStr">
        <is>
          <t xml:space="preserve">    Enterprise License Revenue</t>
        </is>
      </c>
      <c r="B6" s="57" t="n">
        <v>20000</v>
      </c>
      <c r="C6" s="57" t="n">
        <v>50000</v>
      </c>
      <c r="D6" s="57" t="n">
        <v>300000</v>
      </c>
      <c r="E6" s="57" t="n">
        <v>2250000</v>
      </c>
      <c r="F6" s="57" t="n">
        <v>3000000</v>
      </c>
      <c r="G6" s="57" t="n">
        <v>3750000</v>
      </c>
      <c r="H6" s="57" t="n">
        <v>5000000</v>
      </c>
      <c r="I6" s="57" t="n">
        <v>6500000</v>
      </c>
      <c r="J6" s="57" t="n">
        <v>8500000</v>
      </c>
      <c r="K6" s="57" t="n">
        <v>11000000</v>
      </c>
      <c r="L6" s="57" t="n">
        <v>14000000</v>
      </c>
      <c r="M6" s="57" t="n">
        <v>17500000</v>
      </c>
      <c r="N6" s="67" t="n">
        <v>71870000</v>
      </c>
    </row>
    <row r="7">
      <c r="A7" s="29" t="inlineStr">
        <is>
          <t>TOTAL NET REVENUE</t>
        </is>
      </c>
      <c r="B7" s="49" t="n">
        <v>53786</v>
      </c>
      <c r="C7" s="49" t="n">
        <v>410614</v>
      </c>
      <c r="D7" s="49" t="n">
        <v>3743897</v>
      </c>
      <c r="E7" s="49" t="n">
        <v>36200594</v>
      </c>
      <c r="F7" s="49" t="n">
        <v>46049286</v>
      </c>
      <c r="G7" s="49" t="n">
        <v>57295226</v>
      </c>
      <c r="H7" s="49" t="n">
        <v>71092957</v>
      </c>
      <c r="I7" s="49" t="n">
        <v>87147850</v>
      </c>
      <c r="J7" s="49" t="n">
        <v>106221594</v>
      </c>
      <c r="K7" s="49" t="n">
        <v>128779512</v>
      </c>
      <c r="L7" s="49" t="n">
        <v>155394074</v>
      </c>
      <c r="M7" s="49" t="n">
        <v>186629459</v>
      </c>
      <c r="N7" s="49" t="n">
        <v>879018849</v>
      </c>
    </row>
    <row r="8">
      <c r="A8" s="46" t="inlineStr">
        <is>
          <t>COST OF REVENUE  (COGS)</t>
        </is>
      </c>
      <c r="B8" s="143" t="n"/>
      <c r="C8" s="143" t="n"/>
      <c r="D8" s="143" t="n"/>
      <c r="E8" s="143" t="n"/>
      <c r="F8" s="143" t="n"/>
      <c r="G8" s="143" t="n"/>
      <c r="H8" s="143" t="n"/>
      <c r="I8" s="143" t="n"/>
      <c r="J8" s="143" t="n"/>
      <c r="K8" s="143" t="n"/>
      <c r="L8" s="143" t="n"/>
      <c r="M8" s="143" t="n"/>
      <c r="N8" s="144" t="n"/>
    </row>
    <row r="9">
      <c r="A9" s="66" t="inlineStr">
        <is>
          <t xml:space="preserve">    AI / Cloud Compute</t>
        </is>
      </c>
      <c r="B9" s="57" t="n">
        <v>2500</v>
      </c>
      <c r="C9" s="57" t="n">
        <v>18900</v>
      </c>
      <c r="D9" s="57" t="n">
        <v>119856</v>
      </c>
      <c r="E9" s="57" t="n">
        <v>689220</v>
      </c>
      <c r="F9" s="57" t="n">
        <v>875000</v>
      </c>
      <c r="G9" s="57" t="n">
        <v>1088000</v>
      </c>
      <c r="H9" s="57" t="n">
        <v>1341000</v>
      </c>
      <c r="I9" s="57" t="n">
        <v>1637000</v>
      </c>
      <c r="J9" s="57" t="n">
        <v>1983000</v>
      </c>
      <c r="K9" s="57" t="n">
        <v>2391000</v>
      </c>
      <c r="L9" s="57" t="n">
        <v>2870000</v>
      </c>
      <c r="M9" s="57" t="n">
        <v>3432000</v>
      </c>
      <c r="N9" s="67" t="n">
        <v>16447476</v>
      </c>
    </row>
    <row r="10">
      <c r="A10" s="66" t="inlineStr">
        <is>
          <t xml:space="preserve">    Payment Processing (3%)</t>
        </is>
      </c>
      <c r="B10" s="57" t="n">
        <v>1613</v>
      </c>
      <c r="C10" s="57" t="n">
        <v>12318</v>
      </c>
      <c r="D10" s="57" t="n">
        <v>112316</v>
      </c>
      <c r="E10" s="57" t="n">
        <v>1086017</v>
      </c>
      <c r="F10" s="57" t="n">
        <v>1381478</v>
      </c>
      <c r="G10" s="57" t="n">
        <v>1718856</v>
      </c>
      <c r="H10" s="57" t="n">
        <v>2132788</v>
      </c>
      <c r="I10" s="57" t="n">
        <v>2614435</v>
      </c>
      <c r="J10" s="57" t="n">
        <v>3186647</v>
      </c>
      <c r="K10" s="57" t="n">
        <v>3863385</v>
      </c>
      <c r="L10" s="57" t="n">
        <v>4661822</v>
      </c>
      <c r="M10" s="57" t="n">
        <v>5598883</v>
      </c>
      <c r="N10" s="67" t="n">
        <v>26370558</v>
      </c>
    </row>
    <row r="11">
      <c r="A11" s="68" t="inlineStr">
        <is>
          <t>TOTAL COGS</t>
        </is>
      </c>
      <c r="B11" s="53" t="n">
        <v>4113</v>
      </c>
      <c r="C11" s="53" t="n">
        <v>31218</v>
      </c>
      <c r="D11" s="53" t="n">
        <v>232172</v>
      </c>
      <c r="E11" s="53" t="n">
        <v>1775237</v>
      </c>
      <c r="F11" s="53" t="n">
        <v>2256478</v>
      </c>
      <c r="G11" s="53" t="n">
        <v>2806856</v>
      </c>
      <c r="H11" s="53" t="n">
        <v>3473788</v>
      </c>
      <c r="I11" s="53" t="n">
        <v>4251435</v>
      </c>
      <c r="J11" s="53" t="n">
        <v>5169647</v>
      </c>
      <c r="K11" s="53" t="n">
        <v>6254385</v>
      </c>
      <c r="L11" s="53" t="n">
        <v>7531822</v>
      </c>
      <c r="M11" s="53" t="n">
        <v>9030883</v>
      </c>
      <c r="N11" s="53" t="n">
        <v>42818034</v>
      </c>
    </row>
    <row r="12">
      <c r="A12" s="69" t="inlineStr">
        <is>
          <t>GROSS PROFIT</t>
        </is>
      </c>
      <c r="B12" s="70" t="n">
        <v>49673</v>
      </c>
      <c r="C12" s="70" t="n">
        <v>379396</v>
      </c>
      <c r="D12" s="70" t="n">
        <v>3511725</v>
      </c>
      <c r="E12" s="70" t="n">
        <v>34425357</v>
      </c>
      <c r="F12" s="70" t="n">
        <v>43792808</v>
      </c>
      <c r="G12" s="70" t="n">
        <v>54488370</v>
      </c>
      <c r="H12" s="70" t="n">
        <v>67619169</v>
      </c>
      <c r="I12" s="70" t="n">
        <v>82896415</v>
      </c>
      <c r="J12" s="70" t="n">
        <v>101051947</v>
      </c>
      <c r="K12" s="70" t="n">
        <v>122525127</v>
      </c>
      <c r="L12" s="70" t="n">
        <v>147862252</v>
      </c>
      <c r="M12" s="70" t="n">
        <v>177598576</v>
      </c>
      <c r="N12" s="70" t="n">
        <v>836200815</v>
      </c>
    </row>
    <row r="13">
      <c r="A13" s="69" t="inlineStr">
        <is>
          <t>Gross Margin %</t>
        </is>
      </c>
      <c r="B13" s="71" t="n">
        <v>0.9235302866917041</v>
      </c>
      <c r="C13" s="71" t="n">
        <v>0.923972392563332</v>
      </c>
      <c r="D13" s="71" t="n">
        <v>0.9379865418306113</v>
      </c>
      <c r="E13" s="71" t="n">
        <v>0.9509611085387163</v>
      </c>
      <c r="F13" s="71" t="n">
        <v>0.950998632204634</v>
      </c>
      <c r="G13" s="71" t="n">
        <v>0.9510106479028462</v>
      </c>
      <c r="H13" s="71" t="n">
        <v>0.9511373820053651</v>
      </c>
      <c r="I13" s="71" t="n">
        <v>0.9512158360762772</v>
      </c>
      <c r="J13" s="71" t="n">
        <v>0.951331487268022</v>
      </c>
      <c r="K13" s="71" t="n">
        <v>0.9514333848384205</v>
      </c>
      <c r="L13" s="71" t="n">
        <v>0.9515308286466574</v>
      </c>
      <c r="M13" s="71" t="n">
        <v>0.9516106243441449</v>
      </c>
      <c r="N13" s="71" t="n">
        <v>11.34671915291073</v>
      </c>
    </row>
    <row r="14">
      <c r="A14" s="46" t="inlineStr">
        <is>
          <t>OPERATING EXPENSES</t>
        </is>
      </c>
      <c r="B14" s="143" t="n"/>
      <c r="C14" s="143" t="n"/>
      <c r="D14" s="143" t="n"/>
      <c r="E14" s="143" t="n"/>
      <c r="F14" s="143" t="n"/>
      <c r="G14" s="143" t="n"/>
      <c r="H14" s="143" t="n"/>
      <c r="I14" s="143" t="n"/>
      <c r="J14" s="143" t="n"/>
      <c r="K14" s="143" t="n"/>
      <c r="L14" s="143" t="n"/>
      <c r="M14" s="143" t="n"/>
      <c r="N14" s="144" t="n"/>
    </row>
    <row r="15">
      <c r="A15" s="66" t="inlineStr">
        <is>
          <t xml:space="preserve">    Payroll &amp; Benefits</t>
        </is>
      </c>
      <c r="B15" s="57" t="n">
        <v>480000</v>
      </c>
      <c r="C15" s="57" t="n">
        <v>550000</v>
      </c>
      <c r="D15" s="57" t="n">
        <v>650000</v>
      </c>
      <c r="E15" s="57" t="n">
        <v>800000</v>
      </c>
      <c r="F15" s="57" t="n">
        <v>800000</v>
      </c>
      <c r="G15" s="57" t="n">
        <v>850000</v>
      </c>
      <c r="H15" s="57" t="n">
        <v>900000</v>
      </c>
      <c r="I15" s="57" t="n">
        <v>920000</v>
      </c>
      <c r="J15" s="57" t="n">
        <v>950000</v>
      </c>
      <c r="K15" s="57" t="n">
        <v>980000</v>
      </c>
      <c r="L15" s="57" t="n">
        <v>1000000</v>
      </c>
      <c r="M15" s="57" t="n">
        <v>1000000</v>
      </c>
      <c r="N15" s="67" t="n">
        <v>9880000</v>
      </c>
    </row>
    <row r="16">
      <c r="A16" s="66" t="inlineStr">
        <is>
          <t xml:space="preserve">    Sales &amp; Marketing</t>
        </is>
      </c>
      <c r="B16" s="57" t="n">
        <v>5000</v>
      </c>
      <c r="C16" s="57" t="n">
        <v>56000</v>
      </c>
      <c r="D16" s="57" t="n">
        <v>517000</v>
      </c>
      <c r="E16" s="57" t="n">
        <v>4988000</v>
      </c>
      <c r="F16" s="57" t="n">
        <v>6355000</v>
      </c>
      <c r="G16" s="57" t="n">
        <v>7905000</v>
      </c>
      <c r="H16" s="57" t="n">
        <v>9806000</v>
      </c>
      <c r="I16" s="57" t="n">
        <v>12027000</v>
      </c>
      <c r="J16" s="57" t="n">
        <v>14674000</v>
      </c>
      <c r="K16" s="57" t="n">
        <v>20069000</v>
      </c>
      <c r="L16" s="57" t="n">
        <v>21470000</v>
      </c>
      <c r="M16" s="57" t="n">
        <v>25746000</v>
      </c>
      <c r="N16" s="67" t="n">
        <v>123618000</v>
      </c>
    </row>
    <row r="17">
      <c r="A17" s="66" t="inlineStr">
        <is>
          <t xml:space="preserve">    Office &amp; Operations</t>
        </is>
      </c>
      <c r="B17" s="57" t="n">
        <v>20000</v>
      </c>
      <c r="C17" s="57" t="n">
        <v>22000</v>
      </c>
      <c r="D17" s="57" t="n">
        <v>25000</v>
      </c>
      <c r="E17" s="57" t="n">
        <v>30000</v>
      </c>
      <c r="F17" s="57" t="n">
        <v>30000</v>
      </c>
      <c r="G17" s="57" t="n">
        <v>32000</v>
      </c>
      <c r="H17" s="57" t="n">
        <v>35000</v>
      </c>
      <c r="I17" s="57" t="n">
        <v>38000</v>
      </c>
      <c r="J17" s="57" t="n">
        <v>42000</v>
      </c>
      <c r="K17" s="57" t="n">
        <v>50000</v>
      </c>
      <c r="L17" s="57" t="n">
        <v>50000</v>
      </c>
      <c r="M17" s="57" t="n">
        <v>50000</v>
      </c>
      <c r="N17" s="67" t="n">
        <v>424000</v>
      </c>
    </row>
    <row r="18">
      <c r="A18" s="66" t="inlineStr">
        <is>
          <t xml:space="preserve">    Legal &amp; Compliance</t>
        </is>
      </c>
      <c r="B18" s="57" t="n">
        <v>10000</v>
      </c>
      <c r="C18" s="57" t="n">
        <v>12000</v>
      </c>
      <c r="D18" s="57" t="n">
        <v>15000</v>
      </c>
      <c r="E18" s="57" t="n">
        <v>25000</v>
      </c>
      <c r="F18" s="57" t="n">
        <v>25000</v>
      </c>
      <c r="G18" s="57" t="n">
        <v>28000</v>
      </c>
      <c r="H18" s="57" t="n">
        <v>32000</v>
      </c>
      <c r="I18" s="57" t="n">
        <v>36000</v>
      </c>
      <c r="J18" s="57" t="n">
        <v>40000</v>
      </c>
      <c r="K18" s="57" t="n">
        <v>50000</v>
      </c>
      <c r="L18" s="57" t="n">
        <v>50000</v>
      </c>
      <c r="M18" s="57" t="n">
        <v>50000</v>
      </c>
      <c r="N18" s="67" t="n">
        <v>373000</v>
      </c>
    </row>
    <row r="19">
      <c r="A19" s="66" t="inlineStr">
        <is>
          <t xml:space="preserve">    Misc &amp; Contingency (5%)</t>
        </is>
      </c>
      <c r="B19" s="57" t="n">
        <v>24375</v>
      </c>
      <c r="C19" s="57" t="n">
        <v>31245</v>
      </c>
      <c r="D19" s="57" t="n">
        <v>64342</v>
      </c>
      <c r="E19" s="57" t="n">
        <v>323861</v>
      </c>
      <c r="F19" s="57" t="n">
        <v>401500</v>
      </c>
      <c r="G19" s="57" t="n">
        <v>492150</v>
      </c>
      <c r="H19" s="57" t="n">
        <v>602350</v>
      </c>
      <c r="I19" s="57" t="n">
        <v>729200</v>
      </c>
      <c r="J19" s="57" t="n">
        <v>880350</v>
      </c>
      <c r="K19" s="57" t="n">
        <v>1172000</v>
      </c>
      <c r="L19" s="57" t="n">
        <v>1267000</v>
      </c>
      <c r="M19" s="57" t="n">
        <v>1508900</v>
      </c>
      <c r="N19" s="67" t="n">
        <v>7497273</v>
      </c>
    </row>
    <row r="20">
      <c r="A20" s="68" t="inlineStr">
        <is>
          <t>TOTAL OPERATING EXPENSES</t>
        </is>
      </c>
      <c r="B20" s="53" t="n">
        <v>539375</v>
      </c>
      <c r="C20" s="53" t="n">
        <v>671245</v>
      </c>
      <c r="D20" s="53" t="n">
        <v>1271342</v>
      </c>
      <c r="E20" s="53" t="n">
        <v>6166861</v>
      </c>
      <c r="F20" s="53" t="n">
        <v>7611500</v>
      </c>
      <c r="G20" s="53" t="n">
        <v>9307150</v>
      </c>
      <c r="H20" s="53" t="n">
        <v>11375350</v>
      </c>
      <c r="I20" s="53" t="n">
        <v>13750200</v>
      </c>
      <c r="J20" s="53" t="n">
        <v>16586350</v>
      </c>
      <c r="K20" s="53" t="n">
        <v>22321000</v>
      </c>
      <c r="L20" s="53" t="n">
        <v>23837000</v>
      </c>
      <c r="M20" s="53" t="n">
        <v>28354900</v>
      </c>
      <c r="N20" s="53" t="n">
        <v>141792273</v>
      </c>
    </row>
    <row r="21">
      <c r="A21" s="14" t="inlineStr">
        <is>
          <t>PROFITABILITY</t>
        </is>
      </c>
      <c r="B21" s="143" t="n"/>
      <c r="C21" s="143" t="n"/>
      <c r="D21" s="143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4" t="n"/>
    </row>
    <row r="22">
      <c r="A22" s="69" t="inlineStr">
        <is>
          <t>EBITDA</t>
        </is>
      </c>
      <c r="B22" s="70" t="n">
        <v>-489702</v>
      </c>
      <c r="C22" s="70" t="n">
        <v>-291849</v>
      </c>
      <c r="D22" s="70" t="n">
        <v>2240383</v>
      </c>
      <c r="E22" s="70" t="n">
        <v>28258496</v>
      </c>
      <c r="F22" s="70" t="n">
        <v>36181308</v>
      </c>
      <c r="G22" s="70" t="n">
        <v>45181220</v>
      </c>
      <c r="H22" s="70" t="n">
        <v>56243819</v>
      </c>
      <c r="I22" s="70" t="n">
        <v>69146215</v>
      </c>
      <c r="J22" s="70" t="n">
        <v>84465597</v>
      </c>
      <c r="K22" s="70" t="n">
        <v>100204127</v>
      </c>
      <c r="L22" s="70" t="n">
        <v>124025252</v>
      </c>
      <c r="M22" s="70" t="n">
        <v>149243676</v>
      </c>
      <c r="N22" s="70" t="n">
        <v>694408542</v>
      </c>
    </row>
    <row r="23">
      <c r="A23" s="69" t="inlineStr">
        <is>
          <t>EBITDA Margin %</t>
        </is>
      </c>
      <c r="B23" s="71" t="n">
        <v>-9.104636894359126</v>
      </c>
      <c r="C23" s="71" t="n">
        <v>-0.7107624192063593</v>
      </c>
      <c r="D23" s="71" t="n">
        <v>0.5984093579497513</v>
      </c>
      <c r="E23" s="71" t="n">
        <v>0.7806086275821883</v>
      </c>
      <c r="F23" s="71" t="n">
        <v>0.7857083386700068</v>
      </c>
      <c r="G23" s="71" t="n">
        <v>0.7885686671346754</v>
      </c>
      <c r="H23" s="71" t="n">
        <v>0.7911306741679067</v>
      </c>
      <c r="I23" s="71" t="n">
        <v>0.7934356957744798</v>
      </c>
      <c r="J23" s="71" t="n">
        <v>0.7951829173265843</v>
      </c>
      <c r="K23" s="71" t="n">
        <v>0.7781061245208011</v>
      </c>
      <c r="L23" s="71" t="n">
        <v>0.7981337306337692</v>
      </c>
      <c r="M23" s="71" t="n">
        <v>0.7996790903198192</v>
      </c>
      <c r="N23" s="71" t="n">
        <v>-2.106436089485504</v>
      </c>
    </row>
    <row r="24">
      <c r="A24" s="16" t="inlineStr">
        <is>
          <t>Net Revenue (ARR)</t>
        </is>
      </c>
      <c r="B24" s="58" t="n">
        <v>645432</v>
      </c>
      <c r="C24" s="58" t="n">
        <v>4927368</v>
      </c>
      <c r="D24" s="58" t="n">
        <v>44926764</v>
      </c>
      <c r="E24" s="58" t="n">
        <v>434407128</v>
      </c>
      <c r="F24" s="58" t="n">
        <v>552591432</v>
      </c>
      <c r="G24" s="58" t="n">
        <v>687542712</v>
      </c>
      <c r="H24" s="58" t="n">
        <v>853115484</v>
      </c>
      <c r="I24" s="58" t="n">
        <v>1045774200</v>
      </c>
      <c r="J24" s="58" t="n">
        <v>1274659128</v>
      </c>
      <c r="K24" s="58" t="n">
        <v>1545354144</v>
      </c>
      <c r="L24" s="58" t="n">
        <v>1864728888</v>
      </c>
      <c r="M24" s="58" t="n">
        <v>2239553508</v>
      </c>
      <c r="N24" s="67" t="n">
        <v>10548226188</v>
      </c>
    </row>
    <row r="27">
      <c r="A27" s="14" t="inlineStr">
        <is>
          <t>ANNUAL SUMMARY  (all years)</t>
        </is>
      </c>
      <c r="B27" s="143" t="n"/>
      <c r="C27" s="143" t="n"/>
      <c r="D27" s="143" t="n"/>
      <c r="E27" s="143" t="n"/>
      <c r="F27" s="144" t="n"/>
    </row>
    <row r="28">
      <c r="A28" s="15" t="inlineStr">
        <is>
          <t>Year</t>
        </is>
      </c>
      <c r="B28" s="15" t="inlineStr">
        <is>
          <t>Revenue</t>
        </is>
      </c>
      <c r="C28" s="15" t="inlineStr">
        <is>
          <t>Gross Profit</t>
        </is>
      </c>
      <c r="D28" s="15" t="inlineStr">
        <is>
          <t>EBITDA</t>
        </is>
      </c>
      <c r="E28" s="15" t="inlineStr">
        <is>
          <t>EBITDA Margin</t>
        </is>
      </c>
      <c r="F28" s="15" t="inlineStr">
        <is>
          <t>Subscribers (EOP)</t>
        </is>
      </c>
    </row>
    <row r="29">
      <c r="A29" s="16" t="inlineStr">
        <is>
          <t>Year 1 (2026)</t>
        </is>
      </c>
      <c r="B29" s="72" t="n">
        <v>733000000</v>
      </c>
      <c r="C29" s="73" t="n">
        <v>545000000</v>
      </c>
      <c r="D29" s="73" t="n">
        <v>300000000</v>
      </c>
      <c r="E29" s="54" t="n">
        <v>0.41</v>
      </c>
      <c r="F29" s="48" t="n">
        <v>490000</v>
      </c>
    </row>
    <row r="30">
      <c r="A30" s="16" t="inlineStr">
        <is>
          <t>Year 2 (2027)</t>
        </is>
      </c>
      <c r="B30" s="72" t="n">
        <v>5400000000</v>
      </c>
      <c r="C30" s="73" t="n">
        <v>4320000000</v>
      </c>
      <c r="D30" s="73" t="n">
        <v>3240000000</v>
      </c>
      <c r="E30" s="54" t="n">
        <v>0.6</v>
      </c>
      <c r="F30" s="48" t="n">
        <v>1000000</v>
      </c>
    </row>
    <row r="31">
      <c r="A31" s="16" t="inlineStr">
        <is>
          <t>Year 3 (2028)</t>
        </is>
      </c>
      <c r="B31" s="72" t="n">
        <v>15300000000</v>
      </c>
      <c r="C31" s="73" t="n">
        <v>12900000000</v>
      </c>
      <c r="D31" s="73" t="n">
        <v>10710000000</v>
      </c>
      <c r="E31" s="54" t="n">
        <v>0.7</v>
      </c>
      <c r="F31" s="48" t="n">
        <v>5000000</v>
      </c>
    </row>
    <row r="32">
      <c r="A32" s="16" t="inlineStr">
        <is>
          <t>Year 4 (2029)</t>
        </is>
      </c>
      <c r="B32" s="72" t="n">
        <v>33500000000</v>
      </c>
      <c r="C32" s="73" t="n">
        <v>28775000000</v>
      </c>
      <c r="D32" s="73" t="n">
        <v>24120000000</v>
      </c>
      <c r="E32" s="54" t="n">
        <v>0.72</v>
      </c>
      <c r="F32" s="48" t="n">
        <v>17000000</v>
      </c>
    </row>
    <row r="33">
      <c r="A33" s="16" t="inlineStr">
        <is>
          <t>Year 5 (2030)</t>
        </is>
      </c>
      <c r="B33" s="72" t="n">
        <v>50700000000</v>
      </c>
      <c r="C33" s="73" t="n">
        <v>44109000000</v>
      </c>
      <c r="D33" s="73" t="n">
        <v>37011000000</v>
      </c>
      <c r="E33" s="54" t="n">
        <v>0.73</v>
      </c>
      <c r="F33" s="48" t="n">
        <v>26000000</v>
      </c>
    </row>
  </sheetData>
  <mergeCells count="6">
    <mergeCell ref="A8:N8"/>
    <mergeCell ref="A4:N4"/>
    <mergeCell ref="A21:N21"/>
    <mergeCell ref="A27:F27"/>
    <mergeCell ref="A14:N14"/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B1FA2"/>
    <outlinePr summaryBelow="1" summaryRight="1"/>
    <pageSetUpPr/>
  </sheetPr>
  <dimension ref="A1:H41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5" customHeight="1">
      <c r="A1" s="43" t="inlineStr">
        <is>
          <t>PUREBRAIN.AI  —  UNIT ECONOMICS  &amp;  SAAS METRICS</t>
        </is>
      </c>
      <c r="B1" s="143" t="n"/>
      <c r="C1" s="143" t="n"/>
      <c r="D1" s="143" t="n"/>
      <c r="E1" s="143" t="n"/>
      <c r="F1" s="143" t="n"/>
      <c r="G1" s="143" t="n"/>
      <c r="H1" s="144" t="n"/>
    </row>
    <row r="3">
      <c r="A3" s="44" t="inlineStr">
        <is>
          <t>METRIC</t>
        </is>
      </c>
      <c r="B3" s="45" t="inlineStr">
        <is>
          <t>Mar 2026</t>
        </is>
      </c>
      <c r="C3" s="45" t="inlineStr">
        <is>
          <t>Jun 2026</t>
        </is>
      </c>
      <c r="D3" s="45" t="inlineStr">
        <is>
          <t>Dec 2026</t>
        </is>
      </c>
      <c r="E3" s="45" t="inlineStr">
        <is>
          <t>Year 2</t>
        </is>
      </c>
      <c r="F3" s="45" t="inlineStr">
        <is>
          <t>Year 3</t>
        </is>
      </c>
      <c r="G3" s="45" t="inlineStr">
        <is>
          <t>Year 4</t>
        </is>
      </c>
      <c r="H3" s="45" t="inlineStr">
        <is>
          <t>Year 5</t>
        </is>
      </c>
    </row>
    <row r="4">
      <c r="A4" s="46" t="inlineStr">
        <is>
          <t>ARPU  &amp;  PRICING</t>
        </is>
      </c>
      <c r="B4" s="143" t="n"/>
      <c r="C4" s="143" t="n"/>
      <c r="D4" s="143" t="n"/>
      <c r="E4" s="143" t="n"/>
      <c r="F4" s="143" t="n"/>
      <c r="G4" s="143" t="n"/>
      <c r="H4" s="144" t="n"/>
    </row>
    <row r="5">
      <c r="A5" s="56" t="inlineStr">
        <is>
          <t>Awakened ARPU/Mo</t>
        </is>
      </c>
      <c r="B5" s="61" t="n">
        <v>197</v>
      </c>
      <c r="C5" s="61" t="n">
        <v>197</v>
      </c>
      <c r="D5" s="61" t="n">
        <v>197</v>
      </c>
      <c r="E5" s="61" t="n">
        <v>197</v>
      </c>
      <c r="F5" s="61" t="n">
        <v>197</v>
      </c>
      <c r="G5" s="61" t="n">
        <v>197</v>
      </c>
      <c r="H5" s="61" t="n">
        <v>197</v>
      </c>
    </row>
    <row r="6">
      <c r="A6" s="56" t="inlineStr">
        <is>
          <t>Partnered ARPU/Mo</t>
        </is>
      </c>
      <c r="B6" s="61" t="n">
        <v>579</v>
      </c>
      <c r="C6" s="61" t="n">
        <v>579</v>
      </c>
      <c r="D6" s="61" t="n">
        <v>579</v>
      </c>
      <c r="E6" s="61" t="n">
        <v>579</v>
      </c>
      <c r="F6" s="61" t="n">
        <v>579</v>
      </c>
      <c r="G6" s="61" t="n">
        <v>579</v>
      </c>
      <c r="H6" s="61" t="n">
        <v>579</v>
      </c>
    </row>
    <row r="7">
      <c r="A7" s="56" t="inlineStr">
        <is>
          <t>Unified ARPU/Mo</t>
        </is>
      </c>
      <c r="B7" s="61" t="n">
        <v>1089</v>
      </c>
      <c r="C7" s="61" t="n">
        <v>1089</v>
      </c>
      <c r="D7" s="61" t="n">
        <v>1089</v>
      </c>
      <c r="E7" s="61" t="n">
        <v>1089</v>
      </c>
      <c r="F7" s="61" t="n">
        <v>1089</v>
      </c>
      <c r="G7" s="61" t="n">
        <v>1089</v>
      </c>
      <c r="H7" s="61" t="n">
        <v>1089</v>
      </c>
    </row>
    <row r="8">
      <c r="A8" s="29" t="inlineStr">
        <is>
          <t>Blended Consumer ARPU</t>
        </is>
      </c>
      <c r="B8" s="74" t="n">
        <v>344.76</v>
      </c>
      <c r="C8" s="74" t="n">
        <v>344.76</v>
      </c>
      <c r="D8" s="74" t="n">
        <v>344.76</v>
      </c>
      <c r="E8" s="74" t="n">
        <v>344.76</v>
      </c>
      <c r="F8" s="74" t="n">
        <v>344.76</v>
      </c>
      <c r="G8" s="74" t="n">
        <v>344.76</v>
      </c>
      <c r="H8" s="74" t="n">
        <v>344.76</v>
      </c>
    </row>
    <row r="9">
      <c r="A9" s="16" t="inlineStr">
        <is>
          <t>Enterprise ARPU/Mo</t>
        </is>
      </c>
      <c r="B9" s="58" t="n">
        <v>10000</v>
      </c>
      <c r="C9" s="58" t="n">
        <v>15000</v>
      </c>
      <c r="D9" s="58" t="n">
        <v>15019</v>
      </c>
      <c r="E9" s="58" t="n">
        <v>18000</v>
      </c>
      <c r="F9" s="58" t="n">
        <v>20000</v>
      </c>
      <c r="G9" s="58" t="n">
        <v>20000</v>
      </c>
      <c r="H9" s="58" t="n">
        <v>20000</v>
      </c>
    </row>
    <row r="10">
      <c r="A10" s="46" t="inlineStr">
        <is>
          <t>CUSTOMER ACQUISITION</t>
        </is>
      </c>
      <c r="B10" s="143" t="n"/>
      <c r="C10" s="143" t="n"/>
      <c r="D10" s="143" t="n"/>
      <c r="E10" s="143" t="n"/>
      <c r="F10" s="143" t="n"/>
      <c r="G10" s="143" t="n"/>
      <c r="H10" s="144" t="n"/>
    </row>
    <row r="11">
      <c r="A11" s="29" t="inlineStr">
        <is>
          <t>CAC ($)</t>
        </is>
      </c>
      <c r="B11" s="49" t="n">
        <v>150</v>
      </c>
      <c r="C11" s="49" t="n">
        <v>90</v>
      </c>
      <c r="D11" s="49" t="n">
        <v>45</v>
      </c>
      <c r="E11" s="49" t="n">
        <v>30</v>
      </c>
      <c r="F11" s="49" t="n">
        <v>20</v>
      </c>
      <c r="G11" s="49" t="n">
        <v>20</v>
      </c>
      <c r="H11" s="49" t="n">
        <v>20</v>
      </c>
    </row>
    <row r="12">
      <c r="A12" s="16" t="inlineStr">
        <is>
          <t>Payback Period (months)</t>
        </is>
      </c>
      <c r="B12" s="75" t="n">
        <v>2.2</v>
      </c>
      <c r="C12" s="75" t="n">
        <v>1.1</v>
      </c>
      <c r="D12" s="75" t="n">
        <v>0.5</v>
      </c>
      <c r="E12" s="75" t="n">
        <v>0.3</v>
      </c>
      <c r="F12" s="75" t="n">
        <v>0.2</v>
      </c>
      <c r="G12" s="75" t="n">
        <v>0.2</v>
      </c>
      <c r="H12" s="75" t="n">
        <v>0.2</v>
      </c>
    </row>
    <row r="13">
      <c r="A13" s="56" t="inlineStr">
        <is>
          <t>Viral / Organic %</t>
        </is>
      </c>
      <c r="B13" s="59" t="n">
        <v>0.15</v>
      </c>
      <c r="C13" s="59" t="n">
        <v>0.25</v>
      </c>
      <c r="D13" s="59" t="n">
        <v>0.4</v>
      </c>
      <c r="E13" s="59" t="n">
        <v>0.55</v>
      </c>
      <c r="F13" s="59" t="n">
        <v>0.65</v>
      </c>
      <c r="G13" s="59" t="n">
        <v>0.7</v>
      </c>
      <c r="H13" s="59" t="n">
        <v>0.75</v>
      </c>
    </row>
    <row r="14">
      <c r="A14" s="46" t="inlineStr">
        <is>
          <t>LIFETIME VALUE  BY TIER</t>
        </is>
      </c>
      <c r="B14" s="143" t="n"/>
      <c r="C14" s="143" t="n"/>
      <c r="D14" s="143" t="n"/>
      <c r="E14" s="143" t="n"/>
      <c r="F14" s="143" t="n"/>
      <c r="G14" s="143" t="n"/>
      <c r="H14" s="144" t="n"/>
    </row>
    <row r="15">
      <c r="A15" s="16" t="inlineStr">
        <is>
          <t>Awakened LTV</t>
        </is>
      </c>
      <c r="B15" s="58" t="n">
        <v>4334</v>
      </c>
      <c r="C15" s="58" t="n">
        <v>4334</v>
      </c>
      <c r="D15" s="58" t="n">
        <v>4334</v>
      </c>
      <c r="E15" s="58" t="n">
        <v>4334</v>
      </c>
      <c r="F15" s="58" t="n">
        <v>4334</v>
      </c>
      <c r="G15" s="58" t="n">
        <v>4334</v>
      </c>
      <c r="H15" s="58" t="n">
        <v>4334</v>
      </c>
    </row>
    <row r="16">
      <c r="A16" s="16" t="inlineStr">
        <is>
          <t>Partnered LTV</t>
        </is>
      </c>
      <c r="B16" s="58" t="n">
        <v>19107</v>
      </c>
      <c r="C16" s="58" t="n">
        <v>19107</v>
      </c>
      <c r="D16" s="58" t="n">
        <v>19107</v>
      </c>
      <c r="E16" s="58" t="n">
        <v>19107</v>
      </c>
      <c r="F16" s="58" t="n">
        <v>19107</v>
      </c>
      <c r="G16" s="58" t="n">
        <v>19107</v>
      </c>
      <c r="H16" s="58" t="n">
        <v>19107</v>
      </c>
    </row>
    <row r="17">
      <c r="A17" s="16" t="inlineStr">
        <is>
          <t>Unified LTV</t>
        </is>
      </c>
      <c r="B17" s="58" t="n">
        <v>54450</v>
      </c>
      <c r="C17" s="58" t="n">
        <v>54450</v>
      </c>
      <c r="D17" s="58" t="n">
        <v>54450</v>
      </c>
      <c r="E17" s="58" t="n">
        <v>54450</v>
      </c>
      <c r="F17" s="58" t="n">
        <v>54450</v>
      </c>
      <c r="G17" s="58" t="n">
        <v>54450</v>
      </c>
      <c r="H17" s="58" t="n">
        <v>54450</v>
      </c>
    </row>
    <row r="18">
      <c r="A18" s="4" t="inlineStr">
        <is>
          <t>Enterprise LTV</t>
        </is>
      </c>
      <c r="B18" s="76" t="n">
        <v>670000</v>
      </c>
      <c r="C18" s="76" t="n">
        <v>670000</v>
      </c>
      <c r="D18" s="76" t="n">
        <v>670000</v>
      </c>
      <c r="E18" s="76" t="n">
        <v>670000</v>
      </c>
      <c r="F18" s="76" t="n">
        <v>670000</v>
      </c>
      <c r="G18" s="76" t="n">
        <v>670000</v>
      </c>
      <c r="H18" s="76" t="n">
        <v>670000</v>
      </c>
    </row>
    <row r="19">
      <c r="A19" s="29" t="inlineStr">
        <is>
          <t>Blended LTV (consumer)</t>
        </is>
      </c>
      <c r="B19" s="49" t="n">
        <v>4800</v>
      </c>
      <c r="C19" s="49" t="n">
        <v>6200</v>
      </c>
      <c r="D19" s="49" t="n">
        <v>8500</v>
      </c>
      <c r="E19" s="49" t="n">
        <v>12000</v>
      </c>
      <c r="F19" s="49" t="n">
        <v>18000</v>
      </c>
      <c r="G19" s="49" t="n">
        <v>22000</v>
      </c>
      <c r="H19" s="49" t="n">
        <v>25000</v>
      </c>
    </row>
    <row r="20">
      <c r="A20" s="46" t="inlineStr">
        <is>
          <t>LTV : CAC  &amp;  EFFICIENCY</t>
        </is>
      </c>
      <c r="B20" s="143" t="n"/>
      <c r="C20" s="143" t="n"/>
      <c r="D20" s="143" t="n"/>
      <c r="E20" s="143" t="n"/>
      <c r="F20" s="143" t="n"/>
      <c r="G20" s="143" t="n"/>
      <c r="H20" s="144" t="n"/>
    </row>
    <row r="21">
      <c r="A21" s="69" t="inlineStr">
        <is>
          <t>LTV:CAC Ratio</t>
        </is>
      </c>
      <c r="B21" s="77" t="n">
        <v>28</v>
      </c>
      <c r="C21" s="77" t="n">
        <v>46</v>
      </c>
      <c r="D21" s="77" t="n">
        <v>92</v>
      </c>
      <c r="E21" s="77" t="n">
        <v>225</v>
      </c>
      <c r="F21" s="77" t="n">
        <v>400</v>
      </c>
      <c r="G21" s="77" t="n">
        <v>500</v>
      </c>
      <c r="H21" s="77" t="n">
        <v>550</v>
      </c>
    </row>
    <row r="22">
      <c r="A22" s="69" t="inlineStr">
        <is>
          <t>NRR (Net Revenue Retention)</t>
        </is>
      </c>
      <c r="B22" s="71" t="n">
        <v>1.07</v>
      </c>
      <c r="C22" s="71" t="n">
        <v>1.12</v>
      </c>
      <c r="D22" s="71" t="n">
        <v>1.18</v>
      </c>
      <c r="E22" s="71" t="n">
        <v>1.22</v>
      </c>
      <c r="F22" s="71" t="n">
        <v>1.25</v>
      </c>
      <c r="G22" s="71" t="n">
        <v>1.25</v>
      </c>
      <c r="H22" s="71" t="n">
        <v>1.25</v>
      </c>
    </row>
    <row r="23">
      <c r="A23" s="46" t="inlineStr">
        <is>
          <t>CHURN  ANALYSIS</t>
        </is>
      </c>
      <c r="B23" s="143" t="n"/>
      <c r="C23" s="143" t="n"/>
      <c r="D23" s="143" t="n"/>
      <c r="E23" s="143" t="n"/>
      <c r="F23" s="143" t="n"/>
      <c r="G23" s="143" t="n"/>
      <c r="H23" s="144" t="n"/>
    </row>
    <row r="24">
      <c r="A24" s="56" t="inlineStr">
        <is>
          <t>Awakened Monthly Churn</t>
        </is>
      </c>
      <c r="B24" s="78" t="n">
        <v>0.045</v>
      </c>
      <c r="C24" s="78" t="n">
        <v>0.045</v>
      </c>
      <c r="D24" s="78" t="n">
        <v>0.045</v>
      </c>
      <c r="E24" s="78" t="n">
        <v>0.045</v>
      </c>
      <c r="F24" s="78" t="n">
        <v>0.045</v>
      </c>
      <c r="G24" s="78" t="n">
        <v>0.045</v>
      </c>
      <c r="H24" s="78" t="n">
        <v>0.045</v>
      </c>
    </row>
    <row r="25">
      <c r="A25" s="56" t="inlineStr">
        <is>
          <t>Partnered Monthly Churn</t>
        </is>
      </c>
      <c r="B25" s="78" t="n">
        <v>0.03</v>
      </c>
      <c r="C25" s="78" t="n">
        <v>0.03</v>
      </c>
      <c r="D25" s="78" t="n">
        <v>0.03</v>
      </c>
      <c r="E25" s="78" t="n">
        <v>0.03</v>
      </c>
      <c r="F25" s="78" t="n">
        <v>0.03</v>
      </c>
      <c r="G25" s="78" t="n">
        <v>0.03</v>
      </c>
      <c r="H25" s="78" t="n">
        <v>0.03</v>
      </c>
    </row>
    <row r="26">
      <c r="A26" s="56" t="inlineStr">
        <is>
          <t>Unified Monthly Churn</t>
        </is>
      </c>
      <c r="B26" s="78" t="n">
        <v>0.02</v>
      </c>
      <c r="C26" s="78" t="n">
        <v>0.02</v>
      </c>
      <c r="D26" s="78" t="n">
        <v>0.02</v>
      </c>
      <c r="E26" s="78" t="n">
        <v>0.02</v>
      </c>
      <c r="F26" s="78" t="n">
        <v>0.02</v>
      </c>
      <c r="G26" s="78" t="n">
        <v>0.02</v>
      </c>
      <c r="H26" s="78" t="n">
        <v>0.02</v>
      </c>
    </row>
    <row r="27">
      <c r="A27" s="56" t="inlineStr">
        <is>
          <t>Enterprise Monthly Churn</t>
        </is>
      </c>
      <c r="B27" s="78" t="n">
        <v>0.015</v>
      </c>
      <c r="C27" s="78" t="n">
        <v>0.015</v>
      </c>
      <c r="D27" s="78" t="n">
        <v>0.015</v>
      </c>
      <c r="E27" s="78" t="n">
        <v>0.015</v>
      </c>
      <c r="F27" s="78" t="n">
        <v>0.015</v>
      </c>
      <c r="G27" s="78" t="n">
        <v>0.015</v>
      </c>
      <c r="H27" s="78" t="n">
        <v>0.015</v>
      </c>
    </row>
    <row r="28">
      <c r="A28" s="68" t="inlineStr">
        <is>
          <t>Blended Consumer Churn</t>
        </is>
      </c>
      <c r="B28" s="79" t="n">
        <v>0.042</v>
      </c>
      <c r="C28" s="79" t="n">
        <v>0.038</v>
      </c>
      <c r="D28" s="79" t="n">
        <v>0.035</v>
      </c>
      <c r="E28" s="79" t="n">
        <v>0.032</v>
      </c>
      <c r="F28" s="79" t="n">
        <v>0.03</v>
      </c>
      <c r="G28" s="79" t="n">
        <v>0.03</v>
      </c>
      <c r="H28" s="79" t="n">
        <v>0.03</v>
      </c>
    </row>
    <row r="29">
      <c r="A29" s="16" t="inlineStr">
        <is>
          <t>Annual Churn Rate</t>
        </is>
      </c>
      <c r="B29" s="60" t="n">
        <v>0.504</v>
      </c>
      <c r="C29" s="60" t="n">
        <v>0.456</v>
      </c>
      <c r="D29" s="60" t="n">
        <v>0.42</v>
      </c>
      <c r="E29" s="60" t="n">
        <v>0.384</v>
      </c>
      <c r="F29" s="60" t="n">
        <v>0.36</v>
      </c>
      <c r="G29" s="60" t="n">
        <v>0.36</v>
      </c>
      <c r="H29" s="60" t="n">
        <v>0.36</v>
      </c>
    </row>
    <row r="30">
      <c r="A30" s="16" t="inlineStr">
        <is>
          <t>Avg Customer Life (months)</t>
        </is>
      </c>
      <c r="B30" s="75" t="n">
        <v>22</v>
      </c>
      <c r="C30" s="75" t="n">
        <v>26</v>
      </c>
      <c r="D30" s="75" t="n">
        <v>29</v>
      </c>
      <c r="E30" s="75" t="n">
        <v>31</v>
      </c>
      <c r="F30" s="75" t="n">
        <v>33</v>
      </c>
      <c r="G30" s="75" t="n">
        <v>33</v>
      </c>
      <c r="H30" s="75" t="n">
        <v>33</v>
      </c>
    </row>
    <row r="31">
      <c r="A31" s="46" t="inlineStr">
        <is>
          <t>MARGIN  PROFILE</t>
        </is>
      </c>
      <c r="B31" s="143" t="n"/>
      <c r="C31" s="143" t="n"/>
      <c r="D31" s="143" t="n"/>
      <c r="E31" s="143" t="n"/>
      <c r="F31" s="143" t="n"/>
      <c r="G31" s="143" t="n"/>
      <c r="H31" s="144" t="n"/>
    </row>
    <row r="32">
      <c r="A32" s="69" t="inlineStr">
        <is>
          <t>Gross Margin</t>
        </is>
      </c>
      <c r="B32" s="71" t="n">
        <v>0.68</v>
      </c>
      <c r="C32" s="71" t="n">
        <v>0.74</v>
      </c>
      <c r="D32" s="71" t="n">
        <v>0.79</v>
      </c>
      <c r="E32" s="71" t="n">
        <v>0.83</v>
      </c>
      <c r="F32" s="71" t="n">
        <v>0.85</v>
      </c>
      <c r="G32" s="71" t="n">
        <v>0.86</v>
      </c>
      <c r="H32" s="71" t="n">
        <v>0.87</v>
      </c>
    </row>
    <row r="33">
      <c r="A33" s="69" t="inlineStr">
        <is>
          <t>EBITDA Margin</t>
        </is>
      </c>
      <c r="B33" s="71" t="n">
        <v>0.12</v>
      </c>
      <c r="C33" s="71" t="n">
        <v>0.41</v>
      </c>
      <c r="D33" s="71" t="n">
        <v>0.5600000000000001</v>
      </c>
      <c r="E33" s="71" t="n">
        <v>0.6</v>
      </c>
      <c r="F33" s="71" t="n">
        <v>0.7</v>
      </c>
      <c r="G33" s="71" t="n">
        <v>0.72</v>
      </c>
      <c r="H33" s="71" t="n">
        <v>0.73</v>
      </c>
    </row>
    <row r="34">
      <c r="A34" s="56" t="inlineStr">
        <is>
          <t>CAC Payback Ratio</t>
        </is>
      </c>
      <c r="B34" s="59" t="n">
        <v>0.44</v>
      </c>
      <c r="C34" s="59" t="n">
        <v>0.26</v>
      </c>
      <c r="D34" s="59" t="n">
        <v>0.13</v>
      </c>
      <c r="E34" s="59" t="n">
        <v>0.09</v>
      </c>
      <c r="F34" s="59" t="n">
        <v>0.06</v>
      </c>
      <c r="G34" s="59" t="n">
        <v>0.06</v>
      </c>
      <c r="H34" s="59" t="n">
        <v>0.06</v>
      </c>
    </row>
    <row r="35">
      <c r="A35" s="46" t="inlineStr">
        <is>
          <t>MILESTONE  TRACKER</t>
        </is>
      </c>
      <c r="B35" s="143" t="n"/>
      <c r="C35" s="143" t="n"/>
      <c r="D35" s="143" t="n"/>
      <c r="E35" s="143" t="n"/>
      <c r="F35" s="143" t="n"/>
      <c r="G35" s="143" t="n"/>
      <c r="H35" s="144" t="n"/>
    </row>
    <row r="36">
      <c r="A36" s="39" t="inlineStr">
        <is>
          <t>$1M MRR</t>
        </is>
      </c>
      <c r="B36" s="80" t="inlineStr">
        <is>
          <t>Mar 2026 ✓</t>
        </is>
      </c>
      <c r="C36" s="81" t="inlineStr"/>
      <c r="D36" s="81" t="inlineStr"/>
      <c r="E36" s="81" t="inlineStr"/>
      <c r="F36" s="81" t="inlineStr"/>
      <c r="G36" s="81" t="inlineStr"/>
    </row>
    <row r="37">
      <c r="A37" s="39" t="inlineStr">
        <is>
          <t>$10M MRR</t>
        </is>
      </c>
      <c r="B37" s="80" t="inlineStr">
        <is>
          <t>Apr 2026 ✓</t>
        </is>
      </c>
      <c r="C37" s="81" t="inlineStr"/>
      <c r="D37" s="81" t="inlineStr"/>
      <c r="E37" s="81" t="inlineStr"/>
      <c r="F37" s="81" t="inlineStr"/>
      <c r="G37" s="81" t="inlineStr"/>
    </row>
    <row r="38">
      <c r="A38" s="39" t="inlineStr">
        <is>
          <t>$100M MRR</t>
        </is>
      </c>
      <c r="B38" s="81" t="inlineStr"/>
      <c r="C38" s="80" t="inlineStr">
        <is>
          <t>May 2026 ✓</t>
        </is>
      </c>
      <c r="D38" s="81" t="inlineStr"/>
      <c r="E38" s="81" t="inlineStr"/>
      <c r="F38" s="81" t="inlineStr"/>
      <c r="G38" s="81" t="inlineStr"/>
    </row>
    <row r="39">
      <c r="A39" s="39" t="inlineStr">
        <is>
          <t>$1B MRR</t>
        </is>
      </c>
      <c r="B39" s="81" t="inlineStr"/>
      <c r="C39" s="81" t="inlineStr"/>
      <c r="D39" s="80" t="inlineStr">
        <is>
          <t>Q2 2028 ✓</t>
        </is>
      </c>
      <c r="E39" s="81" t="inlineStr"/>
      <c r="F39" s="81" t="inlineStr"/>
      <c r="G39" s="81" t="inlineStr"/>
    </row>
    <row r="40">
      <c r="A40" s="39" t="inlineStr">
        <is>
          <t>$10B ARR</t>
        </is>
      </c>
      <c r="B40" s="81" t="inlineStr"/>
      <c r="C40" s="81" t="inlineStr"/>
      <c r="D40" s="81" t="inlineStr"/>
      <c r="E40" s="80" t="inlineStr">
        <is>
          <t>Q3 2028 ✓</t>
        </is>
      </c>
      <c r="F40" s="81" t="inlineStr"/>
      <c r="G40" s="81" t="inlineStr"/>
    </row>
    <row r="41">
      <c r="A41" s="39" t="inlineStr">
        <is>
          <t>$100B ARR</t>
        </is>
      </c>
      <c r="B41" s="81" t="inlineStr"/>
      <c r="C41" s="81" t="inlineStr"/>
      <c r="D41" s="81" t="inlineStr"/>
      <c r="E41" s="81" t="inlineStr"/>
      <c r="F41" s="80" t="inlineStr">
        <is>
          <t>Q1 2030 ✓</t>
        </is>
      </c>
      <c r="G41" s="81" t="inlineStr"/>
    </row>
  </sheetData>
  <mergeCells count="8">
    <mergeCell ref="A4:H4"/>
    <mergeCell ref="A35:H35"/>
    <mergeCell ref="A20:H20"/>
    <mergeCell ref="A10:H10"/>
    <mergeCell ref="A14:H14"/>
    <mergeCell ref="A1:H1"/>
    <mergeCell ref="A23:H23"/>
    <mergeCell ref="A31:H3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84C"/>
    <outlinePr summaryBelow="1" summaryRight="1"/>
    <pageSetUpPr/>
  </sheetPr>
  <dimension ref="A1:J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50" customHeight="1">
      <c r="A1" s="82" t="inlineStr">
        <is>
          <t>PUREBRAIN.AI  —  INVESTOR DASHBOARD  |  5-YEAR FINANCIAL SUMMARY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4" t="n"/>
    </row>
    <row r="2" ht="20" customHeight="1">
      <c r="A2" s="83" t="inlineStr">
        <is>
          <t>Prepared: March 16, 2026  |  All figures USD  |  Base Case (change scenario in ASSUMPTIONS!B5)</t>
        </is>
      </c>
    </row>
    <row r="4">
      <c r="A4" s="84" t="inlineStr">
        <is>
          <t>KEY PERFORMANCE INDICATORS  —  CURRENT STATE  &amp;  PROJECTIONS</t>
        </is>
      </c>
      <c r="B4" s="143" t="n"/>
      <c r="C4" s="143" t="n"/>
      <c r="D4" s="143" t="n"/>
      <c r="E4" s="143" t="n"/>
      <c r="F4" s="143" t="n"/>
      <c r="G4" s="143" t="n"/>
      <c r="H4" s="143" t="n"/>
      <c r="I4" s="143" t="n"/>
      <c r="J4" s="144" t="n"/>
    </row>
    <row r="5" ht="28" customHeight="1">
      <c r="A5" s="85" t="inlineStr">
        <is>
          <t>Launch MRR (Mar 2026)</t>
        </is>
      </c>
      <c r="B5" s="86" t="inlineStr">
        <is>
          <t>$53,786</t>
        </is>
      </c>
      <c r="D5" s="85" t="inlineStr">
        <is>
          <t>Year 1 MRR (Feb 2027)</t>
        </is>
      </c>
      <c r="E5" s="86" t="inlineStr">
        <is>
          <t>$186.6M</t>
        </is>
      </c>
      <c r="G5" s="85" t="inlineStr">
        <is>
          <t>Year 2 ARR</t>
        </is>
      </c>
      <c r="H5" s="85" t="inlineStr">
        <is>
          <t>Year 2 ARR</t>
        </is>
      </c>
      <c r="I5" s="86" t="inlineStr">
        <is>
          <t>$5.4B</t>
        </is>
      </c>
    </row>
    <row r="6" ht="28" customHeight="1">
      <c r="A6" s="85" t="inlineStr">
        <is>
          <t>Year 1 Cumulative Revenue</t>
        </is>
      </c>
      <c r="B6" s="86" t="inlineStr">
        <is>
          <t>$733M</t>
        </is>
      </c>
      <c r="D6" s="85" t="inlineStr">
        <is>
          <t>Year 3 ARR</t>
        </is>
      </c>
      <c r="E6" s="86" t="inlineStr">
        <is>
          <t>$15.3B</t>
        </is>
      </c>
      <c r="G6" s="85" t="inlineStr">
        <is>
          <t>Year 5 ARR</t>
        </is>
      </c>
      <c r="H6" s="85" t="inlineStr">
        <is>
          <t>Year 5 ARR</t>
        </is>
      </c>
      <c r="I6" s="86" t="inlineStr">
        <is>
          <t>$50.7B</t>
        </is>
      </c>
    </row>
    <row r="7" ht="28" customHeight="1">
      <c r="A7" s="85" t="inlineStr">
        <is>
          <t>5-Year Cumulative Revenue</t>
        </is>
      </c>
      <c r="B7" s="86" t="inlineStr">
        <is>
          <t>$105.6B</t>
        </is>
      </c>
      <c r="D7" s="85" t="inlineStr">
        <is>
          <t>Peak Gross Margin</t>
        </is>
      </c>
      <c r="E7" s="86" t="inlineStr">
        <is>
          <t>87%</t>
        </is>
      </c>
      <c r="G7" s="85" t="inlineStr">
        <is>
          <t>Peak EBITDA Margin</t>
        </is>
      </c>
      <c r="H7" s="85" t="inlineStr">
        <is>
          <t>Peak EBITDA Margin</t>
        </is>
      </c>
      <c r="I7" s="86" t="inlineStr">
        <is>
          <t>73%</t>
        </is>
      </c>
    </row>
    <row r="8" ht="28" customHeight="1">
      <c r="A8" s="85" t="inlineStr">
        <is>
          <t>Launch LTV:CAC</t>
        </is>
      </c>
      <c r="B8" s="86" t="inlineStr">
        <is>
          <t>28:1</t>
        </is>
      </c>
      <c r="D8" s="85" t="inlineStr">
        <is>
          <t>Mature LTV:CAC</t>
        </is>
      </c>
      <c r="E8" s="86" t="inlineStr">
        <is>
          <t>225:1</t>
        </is>
      </c>
      <c r="G8" s="85" t="inlineStr">
        <is>
          <t>NRR at Scale</t>
        </is>
      </c>
      <c r="H8" s="85" t="inlineStr">
        <is>
          <t>NRR at Scale</t>
        </is>
      </c>
      <c r="I8" s="86" t="inlineStr">
        <is>
          <t>125%</t>
        </is>
      </c>
    </row>
    <row r="9" ht="28" customHeight="1">
      <c r="A9" s="85" t="inlineStr">
        <is>
          <t>$1B MRR Milestone</t>
        </is>
      </c>
      <c r="B9" s="86" t="inlineStr">
        <is>
          <t>Q2 2028</t>
        </is>
      </c>
      <c r="D9" s="85" t="inlineStr">
        <is>
          <t>Time to $1B ARR</t>
        </is>
      </c>
      <c r="E9" s="86" t="inlineStr">
        <is>
          <t>~9 months</t>
        </is>
      </c>
      <c r="G9" s="85" t="inlineStr">
        <is>
          <t>Users at $1B ARR</t>
        </is>
      </c>
      <c r="H9" s="85" t="inlineStr">
        <is>
          <t>Users at $1B ARR</t>
        </is>
      </c>
      <c r="I9" s="86" t="inlineStr">
        <is>
          <t>~2.9M</t>
        </is>
      </c>
    </row>
    <row r="11">
      <c r="A11" s="14" t="inlineStr">
        <is>
          <t>MRR TRAJECTORY  &amp;  ANNUAL COMPARISON</t>
        </is>
      </c>
      <c r="B11" s="143" t="n"/>
      <c r="C11" s="143" t="n"/>
      <c r="D11" s="143" t="n"/>
      <c r="E11" s="143" t="n"/>
      <c r="F11" s="143" t="n"/>
      <c r="G11" s="143" t="n"/>
      <c r="H11" s="143" t="n"/>
      <c r="I11" s="143" t="n"/>
      <c r="J11" s="144" t="n"/>
    </row>
    <row r="12">
      <c r="A12" s="15" t="inlineStr">
        <is>
          <t>Period</t>
        </is>
      </c>
      <c r="B12" s="15" t="inlineStr">
        <is>
          <t>MRR</t>
        </is>
      </c>
      <c r="C12" s="15" t="inlineStr">
        <is>
          <t>ARR</t>
        </is>
      </c>
      <c r="D12" s="15" t="inlineStr">
        <is>
          <t>Subscribers</t>
        </is>
      </c>
      <c r="E12" s="15" t="inlineStr">
        <is>
          <t>Consumer MRR</t>
        </is>
      </c>
      <c r="F12" s="15" t="inlineStr">
        <is>
          <t>Enterprise MRR</t>
        </is>
      </c>
      <c r="G12" s="15" t="inlineStr">
        <is>
          <t>Gross Margin</t>
        </is>
      </c>
      <c r="H12" s="15" t="inlineStr">
        <is>
          <t>EBITDA Margin</t>
        </is>
      </c>
      <c r="I12" s="15" t="inlineStr">
        <is>
          <t>LTV:CAC</t>
        </is>
      </c>
      <c r="J12" s="15" t="inlineStr">
        <is>
          <t>NRR</t>
        </is>
      </c>
    </row>
    <row r="13">
      <c r="A13" s="16" t="inlineStr">
        <is>
          <t>Mar 2026</t>
        </is>
      </c>
      <c r="B13" s="49" t="n">
        <v>53786</v>
      </c>
      <c r="C13" s="22" t="n">
        <v>645432</v>
      </c>
      <c r="D13" s="47" t="n">
        <v>98</v>
      </c>
      <c r="E13" s="22" t="n">
        <v>33786</v>
      </c>
      <c r="F13" s="22" t="n">
        <v>20000</v>
      </c>
      <c r="G13" s="60" t="n">
        <v>0.68</v>
      </c>
      <c r="H13" s="60" t="n">
        <v>0.12</v>
      </c>
      <c r="I13" s="87" t="n">
        <v>28</v>
      </c>
      <c r="J13" s="54" t="n">
        <v>1.07</v>
      </c>
    </row>
    <row r="14">
      <c r="A14" s="16" t="inlineStr">
        <is>
          <t>Jun 2026</t>
        </is>
      </c>
      <c r="B14" s="49" t="n">
        <v>36200594</v>
      </c>
      <c r="C14" s="22" t="n">
        <v>434407128</v>
      </c>
      <c r="D14" s="47" t="n">
        <v>98460</v>
      </c>
      <c r="E14" s="22" t="n">
        <v>33950594</v>
      </c>
      <c r="F14" s="22" t="n">
        <v>2250000</v>
      </c>
      <c r="G14" s="60" t="n">
        <v>0.74</v>
      </c>
      <c r="H14" s="60" t="n">
        <v>0.41</v>
      </c>
      <c r="I14" s="87" t="n">
        <v>46</v>
      </c>
      <c r="J14" s="54" t="n">
        <v>1.12</v>
      </c>
    </row>
    <row r="15">
      <c r="A15" s="16" t="inlineStr">
        <is>
          <t>Dec 2026</t>
        </is>
      </c>
      <c r="B15" s="49" t="n">
        <v>128779512</v>
      </c>
      <c r="C15" s="22" t="n">
        <v>1545354144</v>
      </c>
      <c r="D15" s="47" t="n">
        <v>341620</v>
      </c>
      <c r="E15" s="22" t="n">
        <v>117779512</v>
      </c>
      <c r="F15" s="22" t="n">
        <v>11000000</v>
      </c>
      <c r="G15" s="25" t="n">
        <v>0.79</v>
      </c>
      <c r="H15" s="25" t="n">
        <v>0.5600000000000001</v>
      </c>
      <c r="I15" s="87" t="n">
        <v>92</v>
      </c>
      <c r="J15" s="54" t="n">
        <v>1.18</v>
      </c>
    </row>
    <row r="16">
      <c r="A16" s="16" t="inlineStr">
        <is>
          <t>Feb 2027</t>
        </is>
      </c>
      <c r="B16" s="49" t="n">
        <v>186629459</v>
      </c>
      <c r="C16" s="22" t="n">
        <v>2239553508</v>
      </c>
      <c r="D16" s="47" t="n">
        <v>490561</v>
      </c>
      <c r="E16" s="22" t="n">
        <v>169129459</v>
      </c>
      <c r="F16" s="22" t="n">
        <v>17500000</v>
      </c>
      <c r="G16" s="25" t="n">
        <v>0.8</v>
      </c>
      <c r="H16" s="25" t="n">
        <v>0.6</v>
      </c>
      <c r="I16" s="87" t="n">
        <v>110</v>
      </c>
      <c r="J16" s="54" t="n">
        <v>1.19</v>
      </c>
    </row>
    <row r="17">
      <c r="A17" s="16" t="inlineStr">
        <is>
          <t>Year 2</t>
        </is>
      </c>
      <c r="B17" s="49" t="n">
        <v>450000000</v>
      </c>
      <c r="C17" s="22" t="n">
        <v>5400000000</v>
      </c>
      <c r="D17" s="47" t="n">
        <v>1000000</v>
      </c>
      <c r="E17" s="22" t="n">
        <v>390000000</v>
      </c>
      <c r="F17" s="22" t="n">
        <v>60000000</v>
      </c>
      <c r="G17" s="25" t="n">
        <v>0.83</v>
      </c>
      <c r="H17" s="25" t="n">
        <v>0.6</v>
      </c>
      <c r="I17" s="87" t="n">
        <v>225</v>
      </c>
      <c r="J17" s="54" t="n">
        <v>1.22</v>
      </c>
    </row>
    <row r="18">
      <c r="A18" s="16" t="inlineStr">
        <is>
          <t>Year 3</t>
        </is>
      </c>
      <c r="B18" s="49" t="n">
        <v>1275000000</v>
      </c>
      <c r="C18" s="22" t="n">
        <v>15300000000</v>
      </c>
      <c r="D18" s="47" t="n">
        <v>5000000</v>
      </c>
      <c r="E18" s="22" t="n">
        <v>1125000000</v>
      </c>
      <c r="F18" s="22" t="n">
        <v>150000000</v>
      </c>
      <c r="G18" s="25" t="n">
        <v>0.85</v>
      </c>
      <c r="H18" s="25" t="n">
        <v>0.7</v>
      </c>
      <c r="I18" s="87" t="n">
        <v>400</v>
      </c>
      <c r="J18" s="54" t="n">
        <v>1.25</v>
      </c>
    </row>
    <row r="19">
      <c r="A19" s="16" t="inlineStr">
        <is>
          <t>Year 4</t>
        </is>
      </c>
      <c r="B19" s="49" t="n">
        <v>2791666667</v>
      </c>
      <c r="C19" s="22" t="n">
        <v>33500000000</v>
      </c>
      <c r="D19" s="47" t="n">
        <v>17000000</v>
      </c>
      <c r="E19" s="22" t="n">
        <v>2641666667</v>
      </c>
      <c r="F19" s="22" t="n">
        <v>150000000</v>
      </c>
      <c r="G19" s="25" t="n">
        <v>0.86</v>
      </c>
      <c r="H19" s="25" t="n">
        <v>0.72</v>
      </c>
      <c r="I19" s="87" t="n">
        <v>500</v>
      </c>
      <c r="J19" s="54" t="n">
        <v>1.25</v>
      </c>
    </row>
    <row r="20">
      <c r="A20" s="16" t="inlineStr">
        <is>
          <t>Year 5</t>
        </is>
      </c>
      <c r="B20" s="49" t="n">
        <v>4225000000</v>
      </c>
      <c r="C20" s="22" t="n">
        <v>50700000000</v>
      </c>
      <c r="D20" s="47" t="n">
        <v>26000000</v>
      </c>
      <c r="E20" s="22" t="n">
        <v>4075000000</v>
      </c>
      <c r="F20" s="22" t="n">
        <v>150000000</v>
      </c>
      <c r="G20" s="25" t="n">
        <v>0.87</v>
      </c>
      <c r="H20" s="25" t="n">
        <v>0.73</v>
      </c>
      <c r="I20" s="87" t="n">
        <v>550</v>
      </c>
      <c r="J20" s="54" t="n">
        <v>1.25</v>
      </c>
    </row>
    <row r="22">
      <c r="A22" s="88" t="inlineStr">
        <is>
          <t>BULL / BASE / BEAR  SCENARIO COMPARISON</t>
        </is>
      </c>
      <c r="B22" s="143" t="n"/>
      <c r="C22" s="143" t="n"/>
      <c r="D22" s="143" t="n"/>
      <c r="E22" s="143" t="n"/>
      <c r="F22" s="143" t="n"/>
      <c r="G22" s="143" t="n"/>
      <c r="H22" s="143" t="n"/>
      <c r="I22" s="143" t="n"/>
      <c r="J22" s="144" t="n"/>
    </row>
    <row r="23">
      <c r="A23" s="15" t="inlineStr">
        <is>
          <t>Metric</t>
        </is>
      </c>
      <c r="B23" s="15" t="inlineStr">
        <is>
          <t>Bear Case</t>
        </is>
      </c>
      <c r="C23" s="15" t="inlineStr">
        <is>
          <t>Base Case</t>
        </is>
      </c>
      <c r="D23" s="15" t="inlineStr">
        <is>
          <t>Bull Case</t>
        </is>
      </c>
      <c r="E23" s="15" t="inlineStr">
        <is>
          <t>Bear vs Base</t>
        </is>
      </c>
      <c r="F23" s="15" t="inlineStr">
        <is>
          <t>Bull vs Base</t>
        </is>
      </c>
    </row>
    <row r="24">
      <c r="A24" s="16" t="inlineStr">
        <is>
          <t>Dec 2026 MRR</t>
        </is>
      </c>
      <c r="B24" s="89" t="inlineStr">
        <is>
          <t>$48M</t>
        </is>
      </c>
      <c r="C24" s="90" t="inlineStr">
        <is>
          <t>$128M</t>
        </is>
      </c>
      <c r="D24" s="91" t="inlineStr">
        <is>
          <t>$285M</t>
        </is>
      </c>
      <c r="E24" s="89" t="inlineStr">
        <is>
          <t>-63%</t>
        </is>
      </c>
      <c r="F24" s="91" t="inlineStr">
        <is>
          <t>+123%</t>
        </is>
      </c>
    </row>
    <row r="25">
      <c r="A25" s="16" t="inlineStr">
        <is>
          <t>Year 1 Revenue</t>
        </is>
      </c>
      <c r="B25" s="89" t="inlineStr">
        <is>
          <t>$267M</t>
        </is>
      </c>
      <c r="C25" s="90" t="inlineStr">
        <is>
          <t>$733M</t>
        </is>
      </c>
      <c r="D25" s="91" t="inlineStr">
        <is>
          <t>$1.6B</t>
        </is>
      </c>
      <c r="E25" s="89" t="inlineStr">
        <is>
          <t>-64%</t>
        </is>
      </c>
      <c r="F25" s="91" t="inlineStr">
        <is>
          <t>+118%</t>
        </is>
      </c>
    </row>
    <row r="26">
      <c r="A26" s="16" t="inlineStr">
        <is>
          <t>$1B MRR Milestone</t>
        </is>
      </c>
      <c r="B26" s="89" t="inlineStr">
        <is>
          <t>Q4 2029</t>
        </is>
      </c>
      <c r="C26" s="90" t="inlineStr">
        <is>
          <t>Q2 2028</t>
        </is>
      </c>
      <c r="D26" s="91" t="inlineStr">
        <is>
          <t>Q4 2027</t>
        </is>
      </c>
      <c r="E26" s="89" t="inlineStr">
        <is>
          <t>+6 qtrs</t>
        </is>
      </c>
      <c r="F26" s="91" t="inlineStr">
        <is>
          <t>-2 qtrs</t>
        </is>
      </c>
    </row>
    <row r="27">
      <c r="A27" s="16" t="inlineStr">
        <is>
          <t>Year 3 ARR</t>
        </is>
      </c>
      <c r="B27" s="89" t="inlineStr">
        <is>
          <t>$8.1B</t>
        </is>
      </c>
      <c r="C27" s="90" t="inlineStr">
        <is>
          <t>$15.3B</t>
        </is>
      </c>
      <c r="D27" s="91" t="inlineStr">
        <is>
          <t>$28.0B</t>
        </is>
      </c>
      <c r="E27" s="89" t="inlineStr">
        <is>
          <t>-47%</t>
        </is>
      </c>
      <c r="F27" s="91" t="inlineStr">
        <is>
          <t>+83%</t>
        </is>
      </c>
    </row>
    <row r="28">
      <c r="A28" s="16" t="inlineStr">
        <is>
          <t>Year 5 ARR</t>
        </is>
      </c>
      <c r="B28" s="89" t="inlineStr">
        <is>
          <t>$22B</t>
        </is>
      </c>
      <c r="C28" s="90" t="inlineStr">
        <is>
          <t>$50.7B</t>
        </is>
      </c>
      <c r="D28" s="91" t="inlineStr">
        <is>
          <t>$85B</t>
        </is>
      </c>
      <c r="E28" s="89" t="inlineStr">
        <is>
          <t>-57%</t>
        </is>
      </c>
      <c r="F28" s="91" t="inlineStr">
        <is>
          <t>+68%</t>
        </is>
      </c>
    </row>
    <row r="29">
      <c r="A29" s="16" t="inlineStr">
        <is>
          <t>Peak Subscribers</t>
        </is>
      </c>
      <c r="B29" s="89" t="inlineStr">
        <is>
          <t>10M</t>
        </is>
      </c>
      <c r="C29" s="90" t="inlineStr">
        <is>
          <t>26M</t>
        </is>
      </c>
      <c r="D29" s="91" t="inlineStr">
        <is>
          <t>45M</t>
        </is>
      </c>
      <c r="E29" s="89" t="inlineStr">
        <is>
          <t>-62%</t>
        </is>
      </c>
      <c r="F29" s="91" t="inlineStr">
        <is>
          <t>+73%</t>
        </is>
      </c>
    </row>
    <row r="30">
      <c r="A30" s="16" t="inlineStr">
        <is>
          <t>Peak EBITDA Margin</t>
        </is>
      </c>
      <c r="B30" s="89" t="inlineStr">
        <is>
          <t>68%</t>
        </is>
      </c>
      <c r="C30" s="90" t="inlineStr">
        <is>
          <t>73%</t>
        </is>
      </c>
      <c r="D30" s="91" t="inlineStr">
        <is>
          <t>76%</t>
        </is>
      </c>
      <c r="E30" s="89" t="inlineStr">
        <is>
          <t>-5 pts</t>
        </is>
      </c>
      <c r="F30" s="91" t="inlineStr">
        <is>
          <t>+3 pts</t>
        </is>
      </c>
    </row>
    <row r="32">
      <c r="A32" s="14" t="inlineStr">
        <is>
          <t>"WHAT HAS TO BE TRUE"  —  KEY ASSUMPTIONS  CHECKLIST</t>
        </is>
      </c>
      <c r="B32" s="143" t="n"/>
      <c r="C32" s="143" t="n"/>
      <c r="D32" s="143" t="n"/>
      <c r="E32" s="143" t="n"/>
      <c r="F32" s="143" t="n"/>
      <c r="G32" s="143" t="n"/>
      <c r="H32" s="143" t="n"/>
      <c r="I32" s="143" t="n"/>
      <c r="J32" s="144" t="n"/>
    </row>
    <row r="33">
      <c r="A33" s="15" t="inlineStr">
        <is>
          <t>Assumption</t>
        </is>
      </c>
      <c r="B33" s="15" t="inlineStr">
        <is>
          <t>Confidence</t>
        </is>
      </c>
      <c r="C33" s="15" t="inlineStr">
        <is>
          <t>Why / Mechanism</t>
        </is>
      </c>
      <c r="D33" s="13" t="n"/>
      <c r="E33" s="13" t="n"/>
      <c r="F33" s="13" t="n"/>
      <c r="G33" s="13" t="n"/>
      <c r="H33" s="13" t="n"/>
      <c r="I33" s="13" t="n"/>
      <c r="J33" s="7" t="n"/>
    </row>
    <row r="34">
      <c r="A34" s="56" t="inlineStr">
        <is>
          <t>Base Case: Viral K-factor ≥ 0.25 by Month 3</t>
        </is>
      </c>
      <c r="B34" s="92" t="inlineStr">
        <is>
          <t>HIGH</t>
        </is>
      </c>
      <c r="C34" s="85" t="inlineStr">
        <is>
          <t>Product quality + referral incentives</t>
        </is>
      </c>
      <c r="D34" s="13" t="n"/>
      <c r="E34" s="13" t="n"/>
      <c r="F34" s="13" t="n"/>
      <c r="G34" s="13" t="n"/>
      <c r="H34" s="13" t="n"/>
      <c r="I34" s="13" t="n"/>
      <c r="J34" s="7" t="n"/>
    </row>
    <row r="35">
      <c r="A35" s="56" t="inlineStr">
        <is>
          <t>Base Case: Churn stays ≤ 4.2% Month 1</t>
        </is>
      </c>
      <c r="B35" s="92" t="inlineStr">
        <is>
          <t>HIGH</t>
        </is>
      </c>
      <c r="C35" s="85" t="inlineStr">
        <is>
          <t>Onboarding quality + time-to-value &lt; 48h</t>
        </is>
      </c>
      <c r="D35" s="13" t="n"/>
      <c r="E35" s="13" t="n"/>
      <c r="F35" s="13" t="n"/>
      <c r="G35" s="13" t="n"/>
      <c r="H35" s="13" t="n"/>
      <c r="I35" s="13" t="n"/>
      <c r="J35" s="7" t="n"/>
    </row>
    <row r="36">
      <c r="A36" s="56" t="inlineStr">
        <is>
          <t>Base Case: Enterprise pipeline closes 25+ by M3</t>
        </is>
      </c>
      <c r="B36" s="93" t="inlineStr">
        <is>
          <t>MEDIUM</t>
        </is>
      </c>
      <c r="C36" s="85" t="inlineStr">
        <is>
          <t>Direct outreach + PLG conversion</t>
        </is>
      </c>
      <c r="D36" s="13" t="n"/>
      <c r="E36" s="13" t="n"/>
      <c r="F36" s="13" t="n"/>
      <c r="G36" s="13" t="n"/>
      <c r="H36" s="13" t="n"/>
      <c r="I36" s="13" t="n"/>
      <c r="J36" s="7" t="n"/>
    </row>
    <row r="37">
      <c r="A37" s="56" t="inlineStr">
        <is>
          <t>Base Case: CAC drops from $150 → $45 by Month 10</t>
        </is>
      </c>
      <c r="B37" s="92" t="inlineStr">
        <is>
          <t>HIGH</t>
        </is>
      </c>
      <c r="C37" s="85" t="inlineStr">
        <is>
          <t>Organic growth kicking in at scale</t>
        </is>
      </c>
      <c r="D37" s="13" t="n"/>
      <c r="E37" s="13" t="n"/>
      <c r="F37" s="13" t="n"/>
      <c r="G37" s="13" t="n"/>
      <c r="H37" s="13" t="n"/>
      <c r="I37" s="13" t="n"/>
      <c r="J37" s="7" t="n"/>
    </row>
    <row r="38">
      <c r="A38" s="56" t="inlineStr">
        <is>
          <t>Base Case: Gross margin reaches 79% by Dec 2026</t>
        </is>
      </c>
      <c r="B38" s="93" t="inlineStr">
        <is>
          <t>MEDIUM</t>
        </is>
      </c>
      <c r="C38" s="85" t="inlineStr">
        <is>
          <t>Compute economies of scale realized</t>
        </is>
      </c>
      <c r="D38" s="13" t="n"/>
      <c r="E38" s="13" t="n"/>
      <c r="F38" s="13" t="n"/>
      <c r="G38" s="13" t="n"/>
      <c r="H38" s="13" t="n"/>
      <c r="I38" s="13" t="n"/>
      <c r="J38" s="7" t="n"/>
    </row>
    <row r="39">
      <c r="A39" s="56" t="inlineStr">
        <is>
          <t>Bull Case: Month 4 +90K sign-ups (viral moment)</t>
        </is>
      </c>
      <c r="B39" s="94" t="inlineStr">
        <is>
          <t>SPECULATIVE</t>
        </is>
      </c>
      <c r="C39" s="85" t="inlineStr">
        <is>
          <t>Product goes viral / influencer catalyst</t>
        </is>
      </c>
      <c r="D39" s="13" t="n"/>
      <c r="E39" s="13" t="n"/>
      <c r="F39" s="13" t="n"/>
      <c r="G39" s="13" t="n"/>
      <c r="H39" s="13" t="n"/>
      <c r="I39" s="13" t="n"/>
      <c r="J39" s="7" t="n"/>
    </row>
    <row r="40">
      <c r="A40" s="56" t="inlineStr">
        <is>
          <t>Bear Case: Only 67 sign-ups in Month 1</t>
        </is>
      </c>
      <c r="B40" s="95" t="inlineStr">
        <is>
          <t>LOW</t>
        </is>
      </c>
      <c r="C40" s="85" t="inlineStr">
        <is>
          <t>Risk: slow initial traction</t>
        </is>
      </c>
      <c r="D40" s="13" t="n"/>
      <c r="E40" s="13" t="n"/>
      <c r="F40" s="13" t="n"/>
      <c r="G40" s="13" t="n"/>
      <c r="H40" s="13" t="n"/>
      <c r="I40" s="13" t="n"/>
      <c r="J40" s="7" t="n"/>
    </row>
    <row r="41">
      <c r="A41" s="56" t="inlineStr">
        <is>
          <t>All Cases: Hard cap of 100 FTEs holds</t>
        </is>
      </c>
      <c r="B41" s="92" t="inlineStr">
        <is>
          <t>HIGH</t>
        </is>
      </c>
      <c r="C41" s="85" t="inlineStr">
        <is>
          <t>AI-leverage model — no large team needed</t>
        </is>
      </c>
      <c r="D41" s="13" t="n"/>
      <c r="E41" s="13" t="n"/>
      <c r="F41" s="13" t="n"/>
      <c r="G41" s="13" t="n"/>
      <c r="H41" s="13" t="n"/>
      <c r="I41" s="13" t="n"/>
      <c r="J41" s="7" t="n"/>
    </row>
    <row r="43">
      <c r="A43" s="14" t="inlineStr">
        <is>
          <t>CASH FLOW  SUMMARY  &amp;  RUNWAY</t>
        </is>
      </c>
      <c r="B43" s="143" t="n"/>
      <c r="C43" s="143" t="n"/>
      <c r="D43" s="143" t="n"/>
      <c r="E43" s="143" t="n"/>
      <c r="F43" s="143" t="n"/>
      <c r="G43" s="143" t="n"/>
      <c r="H43" s="143" t="n"/>
      <c r="I43" s="143" t="n"/>
      <c r="J43" s="144" t="n"/>
    </row>
    <row r="44">
      <c r="A44" s="15" t="inlineStr">
        <is>
          <t>Month</t>
        </is>
      </c>
      <c r="B44" s="15" t="inlineStr">
        <is>
          <t>Opening Cash</t>
        </is>
      </c>
      <c r="C44" s="15" t="inlineStr">
        <is>
          <t>Revenue</t>
        </is>
      </c>
      <c r="D44" s="15" t="inlineStr">
        <is>
          <t>OPEX</t>
        </is>
      </c>
      <c r="E44" s="15" t="inlineStr">
        <is>
          <t>Net Cash Flow</t>
        </is>
      </c>
      <c r="F44" s="15" t="inlineStr">
        <is>
          <t>Closing Cash</t>
        </is>
      </c>
      <c r="G44" s="15" t="inlineStr">
        <is>
          <t>Runway (mo)</t>
        </is>
      </c>
      <c r="H44" s="15" t="inlineStr">
        <is>
          <t>Cumul Revenue</t>
        </is>
      </c>
    </row>
    <row r="45">
      <c r="A45" s="16" t="inlineStr">
        <is>
          <t>Mar-26</t>
        </is>
      </c>
      <c r="B45" s="96" t="n">
        <v>5000000</v>
      </c>
      <c r="C45" s="22" t="n">
        <v>53786</v>
      </c>
      <c r="D45" s="97" t="n">
        <v>592000</v>
      </c>
      <c r="E45" s="53" t="n">
        <v>-538214</v>
      </c>
      <c r="F45" s="51" t="n">
        <v>4461786</v>
      </c>
      <c r="G45" s="98" t="n">
        <v>7.5</v>
      </c>
      <c r="H45" s="22" t="n">
        <v>53786</v>
      </c>
    </row>
    <row r="46">
      <c r="A46" s="16" t="inlineStr">
        <is>
          <t>Apr-26</t>
        </is>
      </c>
      <c r="B46" s="96" t="n">
        <v>4461786</v>
      </c>
      <c r="C46" s="22" t="n">
        <v>410614</v>
      </c>
      <c r="D46" s="97" t="n">
        <v>724000</v>
      </c>
      <c r="E46" s="53" t="n">
        <v>-313386</v>
      </c>
      <c r="F46" s="51" t="n">
        <v>4148400</v>
      </c>
      <c r="G46" s="98" t="n">
        <v>5.7</v>
      </c>
      <c r="H46" s="22" t="n">
        <v>464400</v>
      </c>
    </row>
    <row r="47">
      <c r="A47" s="16" t="inlineStr">
        <is>
          <t>May-26</t>
        </is>
      </c>
      <c r="B47" s="96" t="n">
        <v>4148400</v>
      </c>
      <c r="C47" s="22" t="n">
        <v>3743897</v>
      </c>
      <c r="D47" s="97" t="n">
        <v>2180000</v>
      </c>
      <c r="E47" s="70" t="n">
        <v>1563897</v>
      </c>
      <c r="F47" s="51" t="n">
        <v>5712297</v>
      </c>
      <c r="G47" s="99" t="n">
        <v>2.6</v>
      </c>
      <c r="H47" s="22" t="n">
        <v>4208297</v>
      </c>
    </row>
    <row r="48">
      <c r="A48" s="16" t="inlineStr">
        <is>
          <t>Jun-26</t>
        </is>
      </c>
      <c r="B48" s="96" t="n">
        <v>5712297</v>
      </c>
      <c r="C48" s="22" t="n">
        <v>36200594</v>
      </c>
      <c r="D48" s="97" t="n">
        <v>3298000</v>
      </c>
      <c r="E48" s="70" t="n">
        <v>32902594</v>
      </c>
      <c r="F48" s="51" t="n">
        <v>38614891</v>
      </c>
      <c r="G48" s="98" t="n">
        <v>11.7</v>
      </c>
      <c r="H48" s="22" t="n">
        <v>40408891</v>
      </c>
    </row>
    <row r="49">
      <c r="A49" s="16" t="inlineStr">
        <is>
          <t>Jul-26</t>
        </is>
      </c>
      <c r="B49" s="96" t="n">
        <v>38614891</v>
      </c>
      <c r="C49" s="22" t="n">
        <v>46049286</v>
      </c>
      <c r="D49" s="97" t="n">
        <v>3800000</v>
      </c>
      <c r="E49" s="70" t="n">
        <v>42249286</v>
      </c>
      <c r="F49" s="51" t="n">
        <v>80864177</v>
      </c>
      <c r="G49" s="100" t="n">
        <v>21.3</v>
      </c>
      <c r="H49" s="22" t="n">
        <v>86458177</v>
      </c>
    </row>
    <row r="50">
      <c r="A50" s="16" t="inlineStr">
        <is>
          <t>Aug-26</t>
        </is>
      </c>
      <c r="B50" s="96" t="n">
        <v>80864177</v>
      </c>
      <c r="C50" s="22" t="n">
        <v>57295226</v>
      </c>
      <c r="D50" s="97" t="n">
        <v>4400000</v>
      </c>
      <c r="E50" s="70" t="n">
        <v>52895226</v>
      </c>
      <c r="F50" s="51" t="n">
        <v>133759403</v>
      </c>
      <c r="G50" s="100" t="n">
        <v>30.4</v>
      </c>
      <c r="H50" s="22" t="n">
        <v>143753403</v>
      </c>
    </row>
    <row r="51">
      <c r="A51" s="16" t="inlineStr">
        <is>
          <t>Sep-26</t>
        </is>
      </c>
      <c r="B51" s="96" t="n">
        <v>133759403</v>
      </c>
      <c r="C51" s="22" t="n">
        <v>71092957</v>
      </c>
      <c r="D51" s="97" t="n">
        <v>5200000</v>
      </c>
      <c r="E51" s="70" t="n">
        <v>65892957</v>
      </c>
      <c r="F51" s="51" t="n">
        <v>199652360</v>
      </c>
      <c r="G51" s="100" t="n">
        <v>38.4</v>
      </c>
      <c r="H51" s="22" t="n">
        <v>214846360</v>
      </c>
    </row>
    <row r="52">
      <c r="A52" s="16" t="inlineStr">
        <is>
          <t>Oct-26</t>
        </is>
      </c>
      <c r="B52" s="96" t="n">
        <v>199652360</v>
      </c>
      <c r="C52" s="22" t="n">
        <v>87147850</v>
      </c>
      <c r="D52" s="97" t="n">
        <v>6200000</v>
      </c>
      <c r="E52" s="70" t="n">
        <v>80947850</v>
      </c>
      <c r="F52" s="51" t="n">
        <v>280600210</v>
      </c>
      <c r="G52" s="100" t="n">
        <v>45.3</v>
      </c>
      <c r="H52" s="22" t="n">
        <v>301994210</v>
      </c>
    </row>
    <row r="53">
      <c r="A53" s="16" t="inlineStr">
        <is>
          <t>Nov-26</t>
        </is>
      </c>
      <c r="B53" s="96" t="n">
        <v>280600210</v>
      </c>
      <c r="C53" s="22" t="n">
        <v>106221594</v>
      </c>
      <c r="D53" s="97" t="n">
        <v>7500000</v>
      </c>
      <c r="E53" s="70" t="n">
        <v>98721594</v>
      </c>
      <c r="F53" s="51" t="n">
        <v>379321804</v>
      </c>
      <c r="G53" s="100" t="n">
        <v>50.6</v>
      </c>
      <c r="H53" s="22" t="n">
        <v>408215804</v>
      </c>
    </row>
    <row r="54">
      <c r="A54" s="16" t="inlineStr">
        <is>
          <t>Dec-26</t>
        </is>
      </c>
      <c r="B54" s="96" t="n">
        <v>379321804</v>
      </c>
      <c r="C54" s="22" t="n">
        <v>128779512</v>
      </c>
      <c r="D54" s="97" t="n">
        <v>11700000</v>
      </c>
      <c r="E54" s="70" t="n">
        <v>117079512</v>
      </c>
      <c r="F54" s="51" t="n">
        <v>496401316</v>
      </c>
      <c r="G54" s="100" t="n">
        <v>42.4</v>
      </c>
      <c r="H54" s="22" t="n">
        <v>536995316</v>
      </c>
    </row>
    <row r="55">
      <c r="A55" s="16" t="inlineStr">
        <is>
          <t>Jan-27</t>
        </is>
      </c>
      <c r="B55" s="96" t="n">
        <v>496401316</v>
      </c>
      <c r="C55" s="22" t="n">
        <v>155394074</v>
      </c>
      <c r="D55" s="97" t="n">
        <v>13500000</v>
      </c>
      <c r="E55" s="70" t="n">
        <v>141894074</v>
      </c>
      <c r="F55" s="51" t="n">
        <v>638295390</v>
      </c>
      <c r="G55" s="100" t="n">
        <v>47.3</v>
      </c>
      <c r="H55" s="22" t="n">
        <v>692389390</v>
      </c>
    </row>
    <row r="56">
      <c r="A56" s="16" t="inlineStr">
        <is>
          <t>Feb-27</t>
        </is>
      </c>
      <c r="B56" s="96" t="n">
        <v>638295390</v>
      </c>
      <c r="C56" s="22" t="n">
        <v>186629459</v>
      </c>
      <c r="D56" s="97" t="n">
        <v>16000000</v>
      </c>
      <c r="E56" s="70" t="n">
        <v>170629459</v>
      </c>
      <c r="F56" s="51" t="n">
        <v>808924849</v>
      </c>
      <c r="G56" s="100" t="n">
        <v>50.6</v>
      </c>
      <c r="H56" s="22" t="n">
        <v>879018849</v>
      </c>
    </row>
  </sheetData>
  <mergeCells count="39">
    <mergeCell ref="A8"/>
    <mergeCell ref="C34:J34"/>
    <mergeCell ref="A32:J32"/>
    <mergeCell ref="A35"/>
    <mergeCell ref="D9"/>
    <mergeCell ref="A22:J22"/>
    <mergeCell ref="C33:J33"/>
    <mergeCell ref="D8"/>
    <mergeCell ref="A38"/>
    <mergeCell ref="A4:J4"/>
    <mergeCell ref="A43:J43"/>
    <mergeCell ref="C37:J37"/>
    <mergeCell ref="D5"/>
    <mergeCell ref="C35:J35"/>
    <mergeCell ref="G9"/>
    <mergeCell ref="A34"/>
    <mergeCell ref="A9"/>
    <mergeCell ref="A40"/>
    <mergeCell ref="A39"/>
    <mergeCell ref="C41:J41"/>
    <mergeCell ref="A36"/>
    <mergeCell ref="C40:J40"/>
    <mergeCell ref="A11:J11"/>
    <mergeCell ref="A1:J1"/>
    <mergeCell ref="A6"/>
    <mergeCell ref="G8"/>
    <mergeCell ref="A7"/>
    <mergeCell ref="D6"/>
    <mergeCell ref="G7"/>
    <mergeCell ref="C36:J36"/>
    <mergeCell ref="A41"/>
    <mergeCell ref="G6"/>
    <mergeCell ref="A37"/>
    <mergeCell ref="C39:J39"/>
    <mergeCell ref="D7"/>
    <mergeCell ref="C38:J38"/>
    <mergeCell ref="A2:J2"/>
    <mergeCell ref="A5"/>
    <mergeCell ref="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4A19"/>
    <outlinePr summaryBelow="1" summaryRight="1"/>
    <pageSetUpPr/>
  </sheetPr>
  <dimension ref="A1:J45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5" customHeight="1">
      <c r="A1" s="43" t="inlineStr">
        <is>
          <t>PUREBRAIN.AI  —  SCENARIO ENGINE  &amp;  SENSITIVITY ANALYSIS</t>
        </is>
      </c>
      <c r="B1" s="143" t="n"/>
      <c r="C1" s="143" t="n"/>
      <c r="D1" s="143" t="n"/>
      <c r="E1" s="143" t="n"/>
      <c r="F1" s="143" t="n"/>
      <c r="G1" s="143" t="n"/>
      <c r="H1" s="143" t="n"/>
      <c r="I1" s="143" t="n"/>
      <c r="J1" s="144" t="n"/>
    </row>
    <row r="3">
      <c r="A3" s="14" t="inlineStr">
        <is>
          <t>THREE-SCENARIO  SIDE-BY-SIDE</t>
        </is>
      </c>
      <c r="B3" s="143" t="n"/>
      <c r="C3" s="143" t="n"/>
      <c r="D3" s="143" t="n"/>
      <c r="E3" s="143" t="n"/>
      <c r="F3" s="143" t="n"/>
      <c r="G3" s="143" t="n"/>
      <c r="H3" s="143" t="n"/>
      <c r="I3" s="143" t="n"/>
      <c r="J3" s="144" t="n"/>
    </row>
    <row r="4">
      <c r="A4" s="15" t="inlineStr">
        <is>
          <t>Variable</t>
        </is>
      </c>
      <c r="B4" s="101" t="inlineStr">
        <is>
          <t>Bear Case</t>
        </is>
      </c>
      <c r="C4" s="15" t="inlineStr">
        <is>
          <t>Base Case</t>
        </is>
      </c>
      <c r="D4" s="102" t="inlineStr">
        <is>
          <t>Bull Case</t>
        </is>
      </c>
      <c r="E4" s="45" t="inlineStr">
        <is>
          <t>Bear Delta</t>
        </is>
      </c>
      <c r="F4" s="45" t="inlineStr">
        <is>
          <t>Bull Delta</t>
        </is>
      </c>
    </row>
    <row r="5">
      <c r="A5" s="46" t="inlineStr">
        <is>
          <t>KEY ASSUMPTIONS</t>
        </is>
      </c>
      <c r="B5" s="143" t="n"/>
      <c r="C5" s="143" t="n"/>
      <c r="D5" s="143" t="n"/>
      <c r="E5" s="143" t="n"/>
      <c r="F5" s="143" t="n"/>
      <c r="G5" s="143" t="n"/>
      <c r="H5" s="143" t="n"/>
      <c r="I5" s="143" t="n"/>
      <c r="J5" s="144" t="n"/>
    </row>
    <row r="6">
      <c r="A6" s="16" t="inlineStr">
        <is>
          <t>Growth Multiplier</t>
        </is>
      </c>
      <c r="B6" s="103" t="n">
        <v>0.67</v>
      </c>
      <c r="C6" s="104" t="n">
        <v>1</v>
      </c>
      <c r="D6" s="105" t="n">
        <v>1.4</v>
      </c>
      <c r="E6" s="106" t="n">
        <v>-0.33</v>
      </c>
      <c r="F6" s="107" t="n">
        <v>0.3999999999999999</v>
      </c>
    </row>
    <row r="7">
      <c r="A7" s="56" t="inlineStr">
        <is>
          <t>Month 1 Sign-Ups</t>
        </is>
      </c>
      <c r="B7" s="108" t="n">
        <v>67</v>
      </c>
      <c r="C7" s="109" t="n">
        <v>100</v>
      </c>
      <c r="D7" s="110" t="n">
        <v>140</v>
      </c>
      <c r="E7" s="106" t="n">
        <v>-0.33</v>
      </c>
      <c r="F7" s="107" t="n">
        <v>0.4</v>
      </c>
    </row>
    <row r="8">
      <c r="A8" s="56" t="inlineStr">
        <is>
          <t>Month 4 Sign-Ups</t>
        </is>
      </c>
      <c r="B8" s="108" t="n">
        <v>60000</v>
      </c>
      <c r="C8" s="109" t="n">
        <v>90000</v>
      </c>
      <c r="D8" s="110" t="n">
        <v>126000</v>
      </c>
      <c r="E8" s="106" t="n">
        <v>-0.3333333333333333</v>
      </c>
      <c r="F8" s="107" t="n">
        <v>0.4</v>
      </c>
    </row>
    <row r="9">
      <c r="A9" s="56" t="inlineStr">
        <is>
          <t>Month 12 Sign-Ups</t>
        </is>
      </c>
      <c r="B9" s="108" t="n">
        <v>67000</v>
      </c>
      <c r="C9" s="109" t="n">
        <v>100000</v>
      </c>
      <c r="D9" s="110" t="n">
        <v>140000</v>
      </c>
      <c r="E9" s="106" t="n">
        <v>-0.33</v>
      </c>
      <c r="F9" s="107" t="n">
        <v>0.4</v>
      </c>
    </row>
    <row r="10">
      <c r="A10" s="56" t="inlineStr">
        <is>
          <t>Blended Churn (M1)</t>
        </is>
      </c>
      <c r="B10" s="111" t="n">
        <v>0.055</v>
      </c>
      <c r="C10" s="112" t="n">
        <v>0.042</v>
      </c>
      <c r="D10" s="113" t="n">
        <v>0.03</v>
      </c>
      <c r="E10" s="106" t="n">
        <v>0.3095238095238094</v>
      </c>
      <c r="F10" s="107" t="n">
        <v>-0.2857142857142858</v>
      </c>
    </row>
    <row r="11">
      <c r="A11" s="56" t="inlineStr">
        <is>
          <t>Viral K-Factor</t>
        </is>
      </c>
      <c r="B11" s="114" t="n">
        <v>0.1</v>
      </c>
      <c r="C11" s="115" t="n">
        <v>0.25</v>
      </c>
      <c r="D11" s="116" t="n">
        <v>0.45</v>
      </c>
      <c r="E11" s="106" t="n">
        <v>-0.6</v>
      </c>
      <c r="F11" s="107" t="n">
        <v>0.8</v>
      </c>
    </row>
    <row r="12">
      <c r="A12" s="56" t="inlineStr">
        <is>
          <t>CAC (M1)</t>
        </is>
      </c>
      <c r="B12" s="117" t="n">
        <v>200</v>
      </c>
      <c r="C12" s="118" t="n">
        <v>150</v>
      </c>
      <c r="D12" s="119" t="n">
        <v>100</v>
      </c>
      <c r="E12" s="106" t="n">
        <v>0.3333333333333333</v>
      </c>
      <c r="F12" s="107" t="n">
        <v>-0.3333333333333333</v>
      </c>
    </row>
    <row r="13">
      <c r="A13" s="56" t="inlineStr">
        <is>
          <t>Enterprise Conv Rate</t>
        </is>
      </c>
      <c r="B13" s="111" t="n">
        <v>0.01</v>
      </c>
      <c r="C13" s="112" t="n">
        <v>0.018</v>
      </c>
      <c r="D13" s="113" t="n">
        <v>0.03</v>
      </c>
      <c r="E13" s="106" t="n">
        <v>-0.4444444444444444</v>
      </c>
      <c r="F13" s="107" t="n">
        <v>0.6666666666666667</v>
      </c>
    </row>
    <row r="14">
      <c r="A14" s="46" t="inlineStr">
        <is>
          <t>YEAR 1 OUTCOMES</t>
        </is>
      </c>
      <c r="B14" s="143" t="n"/>
      <c r="C14" s="143" t="n"/>
      <c r="D14" s="143" t="n"/>
      <c r="E14" s="143" t="n"/>
      <c r="F14" s="143" t="n"/>
      <c r="G14" s="143" t="n"/>
      <c r="H14" s="143" t="n"/>
      <c r="I14" s="143" t="n"/>
      <c r="J14" s="144" t="n"/>
    </row>
    <row r="15">
      <c r="A15" s="16" t="inlineStr">
        <is>
          <t>Dec 2026 MRR</t>
        </is>
      </c>
      <c r="B15" s="53" t="n">
        <v>48000000</v>
      </c>
      <c r="C15" s="118" t="n">
        <v>128779512</v>
      </c>
      <c r="D15" s="70" t="n">
        <v>285000000</v>
      </c>
      <c r="E15" s="106" t="n">
        <v>-0.6272699029951286</v>
      </c>
      <c r="F15" s="107" t="n">
        <v>1.213084950966424</v>
      </c>
    </row>
    <row r="16">
      <c r="A16" s="16" t="inlineStr">
        <is>
          <t>Year 1 Revenue</t>
        </is>
      </c>
      <c r="B16" s="53" t="n">
        <v>267000000</v>
      </c>
      <c r="C16" s="118" t="n">
        <v>733000000</v>
      </c>
      <c r="D16" s="70" t="n">
        <v>1600000000</v>
      </c>
      <c r="E16" s="106" t="n">
        <v>-0.6357435197817189</v>
      </c>
      <c r="F16" s="107" t="n">
        <v>1.18281036834925</v>
      </c>
    </row>
    <row r="17">
      <c r="A17" s="16" t="inlineStr">
        <is>
          <t>Year 1 Subscribers</t>
        </is>
      </c>
      <c r="B17" s="120" t="n">
        <v>160000</v>
      </c>
      <c r="C17" s="109" t="n">
        <v>490561</v>
      </c>
      <c r="D17" s="121" t="n">
        <v>1100000</v>
      </c>
      <c r="E17" s="106" t="n">
        <v>-0.6738428044626458</v>
      </c>
      <c r="F17" s="107" t="n">
        <v>1.24233071931931</v>
      </c>
    </row>
    <row r="18">
      <c r="A18" s="56" t="inlineStr">
        <is>
          <t>Year 1 EBITDA</t>
        </is>
      </c>
      <c r="B18" s="117" t="n">
        <v>60000000</v>
      </c>
      <c r="C18" s="118" t="n">
        <v>300000000</v>
      </c>
      <c r="D18" s="119" t="n">
        <v>700000000</v>
      </c>
      <c r="E18" s="106" t="n">
        <v>-0.8</v>
      </c>
      <c r="F18" s="107" t="n">
        <v>1.333333333333333</v>
      </c>
    </row>
    <row r="19">
      <c r="A19" s="56" t="inlineStr">
        <is>
          <t>Year 1 Gross Margin</t>
        </is>
      </c>
      <c r="B19" s="111" t="n">
        <v>0.72</v>
      </c>
      <c r="C19" s="112" t="n">
        <v>0.79</v>
      </c>
      <c r="D19" s="113" t="n">
        <v>0.83</v>
      </c>
      <c r="E19" s="106" t="n">
        <v>-0.08860759493670893</v>
      </c>
      <c r="F19" s="107" t="n">
        <v>0.05063291139240497</v>
      </c>
    </row>
    <row r="20">
      <c r="A20" s="46" t="inlineStr">
        <is>
          <t>5-YEAR OUTCOMES</t>
        </is>
      </c>
      <c r="B20" s="143" t="n"/>
      <c r="C20" s="143" t="n"/>
      <c r="D20" s="143" t="n"/>
      <c r="E20" s="143" t="n"/>
      <c r="F20" s="143" t="n"/>
      <c r="G20" s="143" t="n"/>
      <c r="H20" s="143" t="n"/>
      <c r="I20" s="143" t="n"/>
      <c r="J20" s="144" t="n"/>
    </row>
    <row r="21">
      <c r="A21" s="16" t="inlineStr">
        <is>
          <t>Year 3 ARR</t>
        </is>
      </c>
      <c r="B21" s="53" t="n">
        <v>8100000000</v>
      </c>
      <c r="C21" s="118" t="n">
        <v>15300000000</v>
      </c>
      <c r="D21" s="70" t="n">
        <v>28000000000</v>
      </c>
      <c r="E21" s="106" t="n">
        <v>-0.4705882352941176</v>
      </c>
      <c r="F21" s="107" t="n">
        <v>0.8300653594771242</v>
      </c>
    </row>
    <row r="22">
      <c r="A22" s="16" t="inlineStr">
        <is>
          <t>Year 5 ARR</t>
        </is>
      </c>
      <c r="B22" s="53" t="n">
        <v>22000000000</v>
      </c>
      <c r="C22" s="118" t="n">
        <v>50700000000</v>
      </c>
      <c r="D22" s="70" t="n">
        <v>85000000000</v>
      </c>
      <c r="E22" s="106" t="n">
        <v>-0.5660749506903353</v>
      </c>
      <c r="F22" s="107" t="n">
        <v>0.6765285996055227</v>
      </c>
    </row>
    <row r="23">
      <c r="A23" s="16" t="inlineStr">
        <is>
          <t>$1B MRR Milestone</t>
        </is>
      </c>
      <c r="B23" s="122" t="inlineStr">
        <is>
          <t>Q4 2029</t>
        </is>
      </c>
      <c r="C23" s="123" t="inlineStr">
        <is>
          <t>Q2 2028</t>
        </is>
      </c>
      <c r="D23" s="124" t="inlineStr">
        <is>
          <t>Q4 2027</t>
        </is>
      </c>
      <c r="E23" s="106" t="n">
        <v>0</v>
      </c>
      <c r="F23" s="107" t="n">
        <v>0</v>
      </c>
    </row>
    <row r="24">
      <c r="A24" s="56" t="inlineStr">
        <is>
          <t>Peak Subscribers</t>
        </is>
      </c>
      <c r="B24" s="108" t="n">
        <v>10000000</v>
      </c>
      <c r="C24" s="109" t="n">
        <v>26000000</v>
      </c>
      <c r="D24" s="110" t="n">
        <v>45000000</v>
      </c>
      <c r="E24" s="106" t="n">
        <v>-0.6153846153846154</v>
      </c>
      <c r="F24" s="107" t="n">
        <v>0.7307692307692307</v>
      </c>
    </row>
    <row r="25">
      <c r="A25" s="16" t="inlineStr">
        <is>
          <t>5-Year Cumulative Rev</t>
        </is>
      </c>
      <c r="B25" s="53" t="n">
        <v>38500000000</v>
      </c>
      <c r="C25" s="118" t="n">
        <v>105600000000</v>
      </c>
      <c r="D25" s="70" t="n">
        <v>200000000000</v>
      </c>
      <c r="E25" s="106" t="n">
        <v>-0.6354166666666666</v>
      </c>
      <c r="F25" s="107" t="n">
        <v>0.8939393939393939</v>
      </c>
    </row>
    <row r="28">
      <c r="A28" s="14" t="inlineStr">
        <is>
          <t>SENSITIVITY TABLE  —  Dec 2026 MRR  vs  CHURN  &amp;  GROWTH</t>
        </is>
      </c>
      <c r="B28" s="143" t="n"/>
      <c r="C28" s="143" t="n"/>
      <c r="D28" s="143" t="n"/>
      <c r="E28" s="143" t="n"/>
      <c r="F28" s="143" t="n"/>
      <c r="G28" s="143" t="n"/>
      <c r="H28" s="143" t="n"/>
      <c r="I28" s="143" t="n"/>
      <c r="J28" s="144" t="n"/>
    </row>
    <row r="29">
      <c r="A29" s="125" t="inlineStr">
        <is>
          <t>Growth Mult ↓</t>
        </is>
      </c>
      <c r="B29" s="15" t="inlineStr">
        <is>
          <t>2.0%</t>
        </is>
      </c>
      <c r="C29" s="15" t="inlineStr">
        <is>
          <t>3.0%</t>
        </is>
      </c>
      <c r="D29" s="15" t="inlineStr">
        <is>
          <t>3.5%</t>
        </is>
      </c>
      <c r="E29" s="15" t="inlineStr">
        <is>
          <t>4.0%</t>
        </is>
      </c>
      <c r="F29" s="15" t="inlineStr">
        <is>
          <t>5.0%</t>
        </is>
      </c>
      <c r="G29" s="15" t="inlineStr">
        <is>
          <t>6.0%</t>
        </is>
      </c>
    </row>
    <row r="30">
      <c r="A30" s="15" t="inlineStr">
        <is>
          <t>0.50x growth</t>
        </is>
      </c>
      <c r="B30" s="126" t="n">
        <v>65390633</v>
      </c>
      <c r="C30" s="126" t="n">
        <v>64723382</v>
      </c>
      <c r="D30" s="126" t="n">
        <v>64389756</v>
      </c>
      <c r="E30" s="127" t="n">
        <v>64056130</v>
      </c>
      <c r="F30" s="127" t="n">
        <v>63388879</v>
      </c>
      <c r="G30" s="127" t="n">
        <v>62721628</v>
      </c>
    </row>
    <row r="31">
      <c r="A31" s="15" t="inlineStr">
        <is>
          <t>0.67x growth</t>
        </is>
      </c>
      <c r="B31" s="126" t="n">
        <v>87623448</v>
      </c>
      <c r="C31" s="126" t="n">
        <v>86729331</v>
      </c>
      <c r="D31" s="126" t="n">
        <v>86282273</v>
      </c>
      <c r="E31" s="126" t="n">
        <v>85835215</v>
      </c>
      <c r="F31" s="126" t="n">
        <v>84941098</v>
      </c>
      <c r="G31" s="126" t="n">
        <v>84046981</v>
      </c>
    </row>
    <row r="32">
      <c r="A32" s="15" t="inlineStr">
        <is>
          <t>1.00x growth</t>
        </is>
      </c>
      <c r="B32" s="128" t="n">
        <v>130781266</v>
      </c>
      <c r="C32" s="128" t="n">
        <v>129446763</v>
      </c>
      <c r="D32" s="76" t="n">
        <v>128779512</v>
      </c>
      <c r="E32" s="76" t="n">
        <v>128112261</v>
      </c>
      <c r="F32" s="126" t="n">
        <v>126777758</v>
      </c>
      <c r="G32" s="126" t="n">
        <v>125443255</v>
      </c>
    </row>
    <row r="33">
      <c r="A33" s="15" t="inlineStr">
        <is>
          <t>1.20x growth</t>
        </is>
      </c>
      <c r="B33" s="128" t="n">
        <v>156937519</v>
      </c>
      <c r="C33" s="128" t="n">
        <v>155336116</v>
      </c>
      <c r="D33" s="128" t="n">
        <v>154535414</v>
      </c>
      <c r="E33" s="128" t="n">
        <v>153734713</v>
      </c>
      <c r="F33" s="128" t="n">
        <v>152133310</v>
      </c>
      <c r="G33" s="128" t="n">
        <v>150531906</v>
      </c>
    </row>
    <row r="34">
      <c r="A34" s="15" t="inlineStr">
        <is>
          <t>1.40x growth</t>
        </is>
      </c>
      <c r="B34" s="128" t="n">
        <v>183093773</v>
      </c>
      <c r="C34" s="128" t="n">
        <v>181225469</v>
      </c>
      <c r="D34" s="128" t="n">
        <v>180291317</v>
      </c>
      <c r="E34" s="128" t="n">
        <v>179357165</v>
      </c>
      <c r="F34" s="128" t="n">
        <v>177488861</v>
      </c>
      <c r="G34" s="128" t="n">
        <v>175620557</v>
      </c>
    </row>
    <row r="35">
      <c r="A35" s="15" t="inlineStr">
        <is>
          <t>1.60x growth</t>
        </is>
      </c>
      <c r="B35" s="128" t="n">
        <v>209250026</v>
      </c>
      <c r="C35" s="128" t="n">
        <v>207114821</v>
      </c>
      <c r="D35" s="128" t="n">
        <v>206047219</v>
      </c>
      <c r="E35" s="128" t="n">
        <v>204979617</v>
      </c>
      <c r="F35" s="128" t="n">
        <v>202844413</v>
      </c>
      <c r="G35" s="128" t="n">
        <v>200709208</v>
      </c>
    </row>
    <row r="38">
      <c r="A38" s="14" t="inlineStr">
        <is>
          <t>TORNADO ANALYSIS  —  KEY DRIVER IMPACT  ON  Year 1 Revenue</t>
        </is>
      </c>
      <c r="B38" s="143" t="n"/>
      <c r="C38" s="143" t="n"/>
      <c r="D38" s="143" t="n"/>
      <c r="E38" s="143" t="n"/>
      <c r="F38" s="143" t="n"/>
      <c r="G38" s="143" t="n"/>
      <c r="H38" s="143" t="n"/>
      <c r="I38" s="143" t="n"/>
      <c r="J38" s="144" t="n"/>
    </row>
    <row r="39">
      <c r="A39" s="15" t="inlineStr">
        <is>
          <t>Variable</t>
        </is>
      </c>
      <c r="B39" s="101" t="inlineStr">
        <is>
          <t>-1 SD Impact</t>
        </is>
      </c>
      <c r="C39" s="15" t="inlineStr">
        <is>
          <t>Base Case</t>
        </is>
      </c>
      <c r="D39" s="102" t="inlineStr">
        <is>
          <t>+1 SD Impact</t>
        </is>
      </c>
      <c r="E39" s="15" t="inlineStr">
        <is>
          <t>Range</t>
        </is>
      </c>
    </row>
    <row r="40">
      <c r="A40" s="16" t="inlineStr">
        <is>
          <t>Month 4 Growth (±50%)</t>
        </is>
      </c>
      <c r="B40" s="117" t="n">
        <v>390000000</v>
      </c>
      <c r="C40" s="49" t="n">
        <v>733000000</v>
      </c>
      <c r="D40" s="119" t="n">
        <v>1100000000</v>
      </c>
      <c r="E40" s="32" t="n">
        <v>710000000</v>
      </c>
    </row>
    <row r="41">
      <c r="A41" s="16" t="inlineStr">
        <is>
          <t>Blended Churn (±1.5%)</t>
        </is>
      </c>
      <c r="B41" s="117" t="n">
        <v>550000000</v>
      </c>
      <c r="C41" s="49" t="n">
        <v>733000000</v>
      </c>
      <c r="D41" s="119" t="n">
        <v>920000000</v>
      </c>
      <c r="E41" s="32" t="n">
        <v>370000000</v>
      </c>
    </row>
    <row r="42">
      <c r="A42" s="16" t="inlineStr">
        <is>
          <t>ARPU (±$50)</t>
        </is>
      </c>
      <c r="B42" s="117" t="n">
        <v>610000000</v>
      </c>
      <c r="C42" s="49" t="n">
        <v>733000000</v>
      </c>
      <c r="D42" s="119" t="n">
        <v>856000000</v>
      </c>
      <c r="E42" s="32" t="n">
        <v>246000000</v>
      </c>
    </row>
    <row r="43">
      <c r="A43" s="16" t="inlineStr">
        <is>
          <t>CAC (±$50)</t>
        </is>
      </c>
      <c r="B43" s="117" t="n">
        <v>650000000</v>
      </c>
      <c r="C43" s="49" t="n">
        <v>733000000</v>
      </c>
      <c r="D43" s="119" t="n">
        <v>816000000</v>
      </c>
      <c r="E43" s="32" t="n">
        <v>166000000</v>
      </c>
    </row>
    <row r="44">
      <c r="A44" s="16" t="inlineStr">
        <is>
          <t>Enterprise Uptake (±50%)</t>
        </is>
      </c>
      <c r="B44" s="117" t="n">
        <v>680000000</v>
      </c>
      <c r="C44" s="49" t="n">
        <v>733000000</v>
      </c>
      <c r="D44" s="119" t="n">
        <v>786000000</v>
      </c>
      <c r="E44" s="32" t="n">
        <v>106000000</v>
      </c>
    </row>
    <row r="45">
      <c r="A45" s="16" t="inlineStr">
        <is>
          <t>Gross Margin (±5%)</t>
        </is>
      </c>
      <c r="B45" s="117" t="n">
        <v>686000000</v>
      </c>
      <c r="C45" s="49" t="n">
        <v>733000000</v>
      </c>
      <c r="D45" s="119" t="n">
        <v>780000000</v>
      </c>
      <c r="E45" s="32" t="n">
        <v>94000000</v>
      </c>
    </row>
  </sheetData>
  <mergeCells count="7">
    <mergeCell ref="A1:J1"/>
    <mergeCell ref="A5:J5"/>
    <mergeCell ref="A14:J14"/>
    <mergeCell ref="A3:J3"/>
    <mergeCell ref="A20:J20"/>
    <mergeCell ref="A38:J38"/>
    <mergeCell ref="A28:J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2026-03-16T15:06:23Z</dcterms:created>
  <dcterms:modified xmlns:dcterms="http://purl.org/dc/terms/" xmlns:xsi="http://www.w3.org/2001/XMLSchema-instance" xsi:type="dcterms:W3CDTF">2026-03-16T15:34:31Z</dcterms:modified>
</cp:coreProperties>
</file>